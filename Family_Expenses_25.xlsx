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tables/table4.xml" ContentType="application/vnd.openxmlformats-officedocument.spreadsheetml.table+xml"/>
  <Override PartName="/xl/comments2.xml" ContentType="application/vnd.openxmlformats-officedocument.spreadsheetml.comments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omments3.xml" ContentType="application/vnd.openxmlformats-officedocument.spreadsheetml.comments+xml"/>
  <Override PartName="/xl/tables/table7.xml" ContentType="application/vnd.openxmlformats-officedocument.spreadsheetml.table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ishnavi\Desktop\"/>
    </mc:Choice>
  </mc:AlternateContent>
  <xr:revisionPtr revIDLastSave="0" documentId="13_ncr:1_{2CFA8728-5250-4129-992B-1C066C6F4AE0}" xr6:coauthVersionLast="47" xr6:coauthVersionMax="47" xr10:uidLastSave="{00000000-0000-0000-0000-000000000000}"/>
  <bookViews>
    <workbookView xWindow="-120" yWindow="-120" windowWidth="20730" windowHeight="11160" activeTab="3" xr2:uid="{FF5FA626-DAF5-4347-AC67-21769519C7C0}"/>
  </bookViews>
  <sheets>
    <sheet name="Budget" sheetId="5" r:id="rId1"/>
    <sheet name="Incomes" sheetId="2" r:id="rId2"/>
    <sheet name="Expenses" sheetId="7" r:id="rId3"/>
    <sheet name="Notes" sheetId="6" r:id="rId4"/>
    <sheet name="Expenses-All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8" i="6" l="1"/>
  <c r="B39" i="6"/>
  <c r="B40" i="6"/>
  <c r="B35" i="6"/>
  <c r="C6" i="2"/>
  <c r="C10" i="2" s="1"/>
  <c r="C14" i="2" s="1"/>
  <c r="C18" i="2" s="1"/>
  <c r="C22" i="2" s="1"/>
  <c r="C26" i="2" s="1"/>
  <c r="C30" i="2" s="1"/>
  <c r="C34" i="2" s="1"/>
  <c r="C38" i="2" s="1"/>
  <c r="C43" i="2" s="1"/>
  <c r="C48" i="2" s="1"/>
  <c r="C53" i="2" s="1"/>
  <c r="G3" i="5"/>
  <c r="G4" i="5"/>
  <c r="G5" i="5"/>
  <c r="G6" i="5"/>
  <c r="G7" i="5"/>
  <c r="G8" i="5"/>
  <c r="G9" i="5"/>
  <c r="G10" i="5"/>
  <c r="G11" i="5"/>
  <c r="G12" i="5"/>
  <c r="G13" i="5"/>
  <c r="G2" i="5"/>
  <c r="C16" i="6"/>
  <c r="C15" i="6"/>
  <c r="B16" i="6" s="1"/>
  <c r="C14" i="6"/>
  <c r="B15" i="6" s="1"/>
  <c r="C13" i="6"/>
  <c r="B14" i="6" s="1"/>
  <c r="C12" i="6"/>
  <c r="B13" i="6" s="1"/>
  <c r="C11" i="6"/>
  <c r="B12" i="6" s="1"/>
  <c r="C10" i="6"/>
  <c r="B11" i="6" s="1"/>
  <c r="C9" i="6"/>
  <c r="B10" i="6" s="1"/>
  <c r="C8" i="6"/>
  <c r="B9" i="6" s="1"/>
  <c r="C7" i="6"/>
  <c r="B8" i="6" s="1"/>
  <c r="C6" i="6"/>
  <c r="B7" i="6" s="1"/>
  <c r="C5" i="6"/>
  <c r="B6" i="6" s="1"/>
  <c r="B5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vaishnavi</author>
  </authors>
  <commentList>
    <comment ref="B2" authorId="0" shapeId="0" xr:uid="{91469EC0-C7F9-48AD-B19C-EFD872A5B8D2}">
      <text>
        <r>
          <rPr>
            <b/>
            <sz val="9"/>
            <color indexed="81"/>
            <rFont val="Tahoma"/>
            <family val="2"/>
          </rPr>
          <t>vaishnavi:</t>
        </r>
        <r>
          <rPr>
            <sz val="9"/>
            <color indexed="81"/>
            <rFont val="Tahoma"/>
            <family val="2"/>
          </rPr>
          <t xml:space="preserve">
Data Corrections - changed Nov. to December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vaishnavi</author>
  </authors>
  <commentList>
    <comment ref="A227" authorId="0" shapeId="0" xr:uid="{0C8FABF2-00B2-4A1F-ADB6-C3E2E7B38E71}">
      <text>
        <r>
          <rPr>
            <b/>
            <sz val="9"/>
            <color indexed="81"/>
            <rFont val="Tahoma"/>
            <charset val="1"/>
          </rPr>
          <t>vaishnavi:</t>
        </r>
        <r>
          <rPr>
            <sz val="9"/>
            <color indexed="81"/>
            <rFont val="Tahoma"/>
            <charset val="1"/>
          </rPr>
          <t xml:space="preserve">
need to shift this to May month.</t>
        </r>
      </text>
    </comment>
    <comment ref="A594" authorId="0" shapeId="0" xr:uid="{869710C2-A954-48F1-97AD-9AF527607E10}">
      <text>
        <r>
          <rPr>
            <b/>
            <sz val="9"/>
            <color indexed="81"/>
            <rFont val="Tahoma"/>
            <family val="2"/>
          </rPr>
          <t>vaishnavi:</t>
        </r>
        <r>
          <rPr>
            <sz val="9"/>
            <color indexed="81"/>
            <rFont val="Tahoma"/>
            <family val="2"/>
          </rPr>
          <t xml:space="preserve">
In app this is being reflected in November month.</t>
        </r>
      </text>
    </comment>
    <comment ref="A595" authorId="0" shapeId="0" xr:uid="{C1230F45-FDC7-47BC-8EB0-06C5C9D7930C}">
      <text>
        <r>
          <rPr>
            <b/>
            <sz val="9"/>
            <color indexed="81"/>
            <rFont val="Tahoma"/>
            <family val="2"/>
          </rPr>
          <t>vaishnavi:</t>
        </r>
        <r>
          <rPr>
            <sz val="9"/>
            <color indexed="81"/>
            <rFont val="Tahoma"/>
            <family val="2"/>
          </rPr>
          <t xml:space="preserve">
Added manually referring the app.</t>
        </r>
      </text>
    </comment>
    <comment ref="B596" authorId="0" shapeId="0" xr:uid="{04BD30CD-CDF9-4D4B-B8F4-E3B6817D8E7A}">
      <text>
        <r>
          <rPr>
            <b/>
            <sz val="9"/>
            <color indexed="81"/>
            <rFont val="Tahoma"/>
            <family val="2"/>
          </rPr>
          <t>vaishnavi:</t>
        </r>
        <r>
          <rPr>
            <sz val="9"/>
            <color indexed="81"/>
            <rFont val="Tahoma"/>
            <family val="2"/>
          </rPr>
          <t xml:space="preserve">
added manually from app.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vaishnavi</author>
  </authors>
  <commentList>
    <comment ref="B28" authorId="0" shapeId="0" xr:uid="{91D551F6-EB46-4D1F-9354-5C2C9B1CA39E}">
      <text>
        <r>
          <rPr>
            <b/>
            <sz val="9"/>
            <color indexed="81"/>
            <rFont val="Tahoma"/>
            <family val="2"/>
          </rPr>
          <t>vaishnavi:</t>
        </r>
        <r>
          <rPr>
            <sz val="9"/>
            <color indexed="81"/>
            <rFont val="Tahoma"/>
            <family val="2"/>
          </rPr>
          <t xml:space="preserve">
added description and 300 in amount column.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vaishnavi</author>
  </authors>
  <commentList>
    <comment ref="B58" authorId="0" shapeId="0" xr:uid="{3630071C-9EFF-48BC-AA61-9AC97122B259}">
      <text>
        <r>
          <rPr>
            <b/>
            <sz val="9"/>
            <color indexed="81"/>
            <rFont val="Tahoma"/>
            <family val="2"/>
          </rPr>
          <t>vaishnavi:</t>
        </r>
        <r>
          <rPr>
            <sz val="9"/>
            <color indexed="81"/>
            <rFont val="Tahoma"/>
            <family val="2"/>
          </rPr>
          <t xml:space="preserve">
added description and 300 in amount column.</t>
        </r>
      </text>
    </comment>
  </commentList>
</comments>
</file>

<file path=xl/sharedStrings.xml><?xml version="1.0" encoding="utf-8"?>
<sst xmlns="http://schemas.openxmlformats.org/spreadsheetml/2006/main" count="5791" uniqueCount="877">
  <si>
    <t>August</t>
  </si>
  <si>
    <t>Home Expense Fund</t>
  </si>
  <si>
    <t xml:space="preserve">Aug month contribution </t>
  </si>
  <si>
    <t>08-03-2025</t>
  </si>
  <si>
    <t>Home expense for Aug 25</t>
  </si>
  <si>
    <t>08-02-2025</t>
  </si>
  <si>
    <t>Monthly contribution for aug 25</t>
  </si>
  <si>
    <t>07-25-2025</t>
  </si>
  <si>
    <t>July</t>
  </si>
  <si>
    <t>Home expense for July25</t>
  </si>
  <si>
    <t>07-01-2025</t>
  </si>
  <si>
    <t>monthly contri for family expenses-July</t>
  </si>
  <si>
    <t>Monthly contribution for Jululy 25</t>
  </si>
  <si>
    <t>06-25-2025</t>
  </si>
  <si>
    <t>June</t>
  </si>
  <si>
    <t>Monthly contribution for June</t>
  </si>
  <si>
    <t>05-31-2025</t>
  </si>
  <si>
    <t>Expense for month Jun</t>
  </si>
  <si>
    <t>Monthly contribution for June 25</t>
  </si>
  <si>
    <t>05-26-2025</t>
  </si>
  <si>
    <t>May</t>
  </si>
  <si>
    <t>May 25</t>
  </si>
  <si>
    <t>05-01-2025</t>
  </si>
  <si>
    <t>May month contribution</t>
  </si>
  <si>
    <t>Monthly contribution for May 25</t>
  </si>
  <si>
    <t>04-25-2025</t>
  </si>
  <si>
    <t>April</t>
  </si>
  <si>
    <t>Monthly expense</t>
  </si>
  <si>
    <t>03-31-2025</t>
  </si>
  <si>
    <t>April Month Share</t>
  </si>
  <si>
    <t>April month share</t>
  </si>
  <si>
    <t>03-26-2025</t>
  </si>
  <si>
    <t>March</t>
  </si>
  <si>
    <t>March month expense share</t>
  </si>
  <si>
    <t>03-02-2025</t>
  </si>
  <si>
    <t>Monthly contribution for Mar 25</t>
  </si>
  <si>
    <t>03-01-2025</t>
  </si>
  <si>
    <t xml:space="preserve">March Contribution </t>
  </si>
  <si>
    <t>02-26-2025</t>
  </si>
  <si>
    <t>February</t>
  </si>
  <si>
    <t>Feb month contri</t>
  </si>
  <si>
    <t>02-01-2025</t>
  </si>
  <si>
    <t>contri</t>
  </si>
  <si>
    <t>01-31-2025</t>
  </si>
  <si>
    <t>Akshay’s Contribution</t>
  </si>
  <si>
    <t>01-25-2025</t>
  </si>
  <si>
    <t>January</t>
  </si>
  <si>
    <t>Added by Medha</t>
  </si>
  <si>
    <t>01-01-2025</t>
  </si>
  <si>
    <t>Paid by Vaishnavi</t>
  </si>
  <si>
    <t>Paid by Akshay</t>
  </si>
  <si>
    <t>12-31-2024</t>
  </si>
  <si>
    <t>Previous Month Reserve Fund</t>
  </si>
  <si>
    <t>12-25-2024</t>
  </si>
  <si>
    <t>Month</t>
  </si>
  <si>
    <t>Category</t>
  </si>
  <si>
    <t>Amount</t>
  </si>
  <si>
    <t>Description</t>
  </si>
  <si>
    <t>Date of Input</t>
  </si>
  <si>
    <t>08-26-2025</t>
  </si>
  <si>
    <t>Monthly contribution for sept 25</t>
  </si>
  <si>
    <t>09-01-2025</t>
  </si>
  <si>
    <t>Expense for month Sept</t>
  </si>
  <si>
    <t>09-03-2025</t>
  </si>
  <si>
    <t>Sept Month Contribution</t>
  </si>
  <si>
    <t>09-30-2025</t>
  </si>
  <si>
    <t>Home expense for Oct 25</t>
  </si>
  <si>
    <t>10-01-2025</t>
  </si>
  <si>
    <t xml:space="preserve">contribution for Oct month </t>
  </si>
  <si>
    <t>10-08-2025</t>
  </si>
  <si>
    <t xml:space="preserve">contribution from G.M.Agatkar </t>
  </si>
  <si>
    <t>09-25-2025</t>
  </si>
  <si>
    <t xml:space="preserve">Sept. month contribution </t>
  </si>
  <si>
    <t>10-30-2025</t>
  </si>
  <si>
    <t>Monthly contribution for Nov 25</t>
  </si>
  <si>
    <t>11-04-2025</t>
  </si>
  <si>
    <t>Nov month contribution</t>
  </si>
  <si>
    <t>Monthly expense for Nov25</t>
  </si>
  <si>
    <t>11-19-2025</t>
  </si>
  <si>
    <t>November month contribution</t>
  </si>
  <si>
    <t>September</t>
  </si>
  <si>
    <t>October</t>
  </si>
  <si>
    <t>November</t>
  </si>
  <si>
    <t>December</t>
  </si>
  <si>
    <t>11-30-2025</t>
  </si>
  <si>
    <t>Monthly contribution for Dec25</t>
  </si>
  <si>
    <t>Dec month contribution</t>
  </si>
  <si>
    <t>12-04-2025</t>
  </si>
  <si>
    <t>Home expenses for Dec 25</t>
  </si>
  <si>
    <t>12-11-2025</t>
  </si>
  <si>
    <t>Contribution for Dec - Aaee</t>
  </si>
  <si>
    <t>Cycle</t>
  </si>
  <si>
    <t>From</t>
  </si>
  <si>
    <t>To</t>
  </si>
  <si>
    <t>24 of current month</t>
  </si>
  <si>
    <t>25th of previous month</t>
  </si>
  <si>
    <t>01-24-2025</t>
  </si>
  <si>
    <t>02-24-2025</t>
  </si>
  <si>
    <t>December Month Savings</t>
  </si>
  <si>
    <t>Electricity</t>
  </si>
  <si>
    <t>Gas</t>
  </si>
  <si>
    <t>Grains</t>
  </si>
  <si>
    <t>Groceries</t>
  </si>
  <si>
    <t>Home Loan Interest</t>
  </si>
  <si>
    <t>Home Maintenance</t>
  </si>
  <si>
    <t>Laundry</t>
  </si>
  <si>
    <t>Maid</t>
  </si>
  <si>
    <t>Milk</t>
  </si>
  <si>
    <t>Municipal Tax</t>
  </si>
  <si>
    <t>Others</t>
  </si>
  <si>
    <t>Society Maintenance</t>
  </si>
  <si>
    <t>Vegetables &amp; Fruits</t>
  </si>
  <si>
    <t>Internet</t>
  </si>
  <si>
    <t>Category Total</t>
  </si>
  <si>
    <t>Date</t>
  </si>
  <si>
    <t>Electricity Bill for December</t>
  </si>
  <si>
    <t>12-29-2024</t>
  </si>
  <si>
    <t>Malai lassi</t>
  </si>
  <si>
    <t>buffalo milk</t>
  </si>
  <si>
    <t>Vegetable &amp; Fruits</t>
  </si>
  <si>
    <t>01-02-2025</t>
  </si>
  <si>
    <t>Home interest paid for Jan</t>
  </si>
  <si>
    <t>Flowers for pooja</t>
  </si>
  <si>
    <t>01-03-2025</t>
  </si>
  <si>
    <t>Home Maintenance + Reserve Funds</t>
  </si>
  <si>
    <t>Chimney repair</t>
  </si>
  <si>
    <t>01-05-2025</t>
  </si>
  <si>
    <t>garlic, onion, peas</t>
  </si>
  <si>
    <t>Shrikhand purchase</t>
  </si>
  <si>
    <t>01-06-2025</t>
  </si>
  <si>
    <t>calendar</t>
  </si>
  <si>
    <t>curd</t>
  </si>
  <si>
    <t>Cash to Bhagayshri</t>
  </si>
  <si>
    <t>01-09-2025</t>
  </si>
  <si>
    <t>idli batter</t>
  </si>
  <si>
    <t>Dosa batter</t>
  </si>
  <si>
    <t>01-10-2025</t>
  </si>
  <si>
    <t>apple n grapes</t>
  </si>
  <si>
    <t>01-11-2025</t>
  </si>
  <si>
    <t>Pinapple &amp; Curd</t>
  </si>
  <si>
    <t>Haldi Kunku</t>
  </si>
  <si>
    <t>Reliance mart parking</t>
  </si>
  <si>
    <t xml:space="preserve">Reliance Mart </t>
  </si>
  <si>
    <t>Lonche ani Chutney</t>
  </si>
  <si>
    <t>haldi kunku</t>
  </si>
  <si>
    <t xml:space="preserve">Chimney servicing </t>
  </si>
  <si>
    <t>ojasvita</t>
  </si>
  <si>
    <t>bournvita</t>
  </si>
  <si>
    <t xml:space="preserve">Account balance difference resolution </t>
  </si>
  <si>
    <t>01-12-2025</t>
  </si>
  <si>
    <t>onions</t>
  </si>
  <si>
    <t>Indrayani rice from Khed Shivapur (5KG)</t>
  </si>
  <si>
    <t xml:space="preserve">family Dinner </t>
  </si>
  <si>
    <t>dudh</t>
  </si>
  <si>
    <t>sugde + dalan</t>
  </si>
  <si>
    <t>Entertainment natak</t>
  </si>
  <si>
    <t>01-13-2025</t>
  </si>
  <si>
    <t>honey</t>
  </si>
  <si>
    <t>Anti dandruff shampoo + mask</t>
  </si>
  <si>
    <t>flowers ani paan</t>
  </si>
  <si>
    <t>bhaji</t>
  </si>
  <si>
    <t>sugdyache vaan</t>
  </si>
  <si>
    <t>01-17-2025</t>
  </si>
  <si>
    <t>instamart grocery</t>
  </si>
  <si>
    <t>Blueberries &amp; Kivi</t>
  </si>
  <si>
    <t>01-18-2025</t>
  </si>
  <si>
    <t>bread curd cheese butter</t>
  </si>
  <si>
    <t>lassi and softy</t>
  </si>
  <si>
    <t>vadapav</t>
  </si>
  <si>
    <t>01-20-2025</t>
  </si>
  <si>
    <t>Potato &amp; Curd</t>
  </si>
  <si>
    <t>Netflix</t>
  </si>
  <si>
    <t>01-21-2025</t>
  </si>
  <si>
    <t>Bhendi</t>
  </si>
  <si>
    <t xml:space="preserve">Bread, Curd,Mayonnaise </t>
  </si>
  <si>
    <t>Wheat Sarbati &amp; Sihore (5 + 5 KG)</t>
  </si>
  <si>
    <t>Wheat flouring</t>
  </si>
  <si>
    <t>Vegetables</t>
  </si>
  <si>
    <t>01-23-2025</t>
  </si>
  <si>
    <t>Premium version of Isavemoneygo</t>
  </si>
  <si>
    <t>Icecream</t>
  </si>
  <si>
    <t>apple</t>
  </si>
  <si>
    <t>haldi kumkum kharcha</t>
  </si>
  <si>
    <t>Electricity Bill for Jan</t>
  </si>
  <si>
    <t>01-26-2025</t>
  </si>
  <si>
    <t>janta sweets</t>
  </si>
  <si>
    <t>0.5 ltr milk</t>
  </si>
  <si>
    <t>paper cups</t>
  </si>
  <si>
    <t>ironing</t>
  </si>
  <si>
    <t>01-29-2025</t>
  </si>
  <si>
    <t>01-30-2025</t>
  </si>
  <si>
    <t>vikram tea</t>
  </si>
  <si>
    <t>fruits</t>
  </si>
  <si>
    <t xml:space="preserve">Bhagyashri and Manga payment </t>
  </si>
  <si>
    <t>Pawar Dairy Payment</t>
  </si>
  <si>
    <t>cow milk</t>
  </si>
  <si>
    <t xml:space="preserve">Quarter 4 maintenance </t>
  </si>
  <si>
    <t xml:space="preserve">Society Maintenance </t>
  </si>
  <si>
    <t>02-04-2025</t>
  </si>
  <si>
    <t>Dalcha rice</t>
  </si>
  <si>
    <t>02-06-2025</t>
  </si>
  <si>
    <t>Grapes n bhaji</t>
  </si>
  <si>
    <t>Pune to Dwarka</t>
  </si>
  <si>
    <t>Travel</t>
  </si>
  <si>
    <t>1/2 kg Apple - Vaishnavi</t>
  </si>
  <si>
    <t>02-07-2025</t>
  </si>
  <si>
    <t>Rent for Jan</t>
  </si>
  <si>
    <t>toor dal,curd,mix seeds</t>
  </si>
  <si>
    <t>onion</t>
  </si>
  <si>
    <t>02-08-2025</t>
  </si>
  <si>
    <t>Dwarka to Veraval</t>
  </si>
  <si>
    <t>dahi,bread,butter,ragi, dairy milk</t>
  </si>
  <si>
    <t>02-09-2025</t>
  </si>
  <si>
    <t>kothimbir+methi</t>
  </si>
  <si>
    <t>kirana</t>
  </si>
  <si>
    <t>banana</t>
  </si>
  <si>
    <t>ashirwad aata</t>
  </si>
  <si>
    <t>chakli</t>
  </si>
  <si>
    <t>paneer</t>
  </si>
  <si>
    <t>Fosset Pipe</t>
  </si>
  <si>
    <t>02-10-2025</t>
  </si>
  <si>
    <t>Dwarka to Pune</t>
  </si>
  <si>
    <t>dalan</t>
  </si>
  <si>
    <t>02-11-2025</t>
  </si>
  <si>
    <t xml:space="preserve">Vegetables </t>
  </si>
  <si>
    <t>02-12-2025</t>
  </si>
  <si>
    <t>curd n taak</t>
  </si>
  <si>
    <t>02-13-2025</t>
  </si>
  <si>
    <t>black grapes</t>
  </si>
  <si>
    <t>02-14-2025</t>
  </si>
  <si>
    <t>Lunch Food</t>
  </si>
  <si>
    <t>Instamart - Biscuits</t>
  </si>
  <si>
    <t>Movie Ticket - Chhava</t>
  </si>
  <si>
    <t>02-15-2025</t>
  </si>
  <si>
    <t>Dwarka Stay</t>
  </si>
  <si>
    <t>Stay</t>
  </si>
  <si>
    <t>02-16-2025</t>
  </si>
  <si>
    <t>Dahi</t>
  </si>
  <si>
    <t>Rabadi</t>
  </si>
  <si>
    <t>almond, walnut</t>
  </si>
  <si>
    <t>Mixer, coocker repairing</t>
  </si>
  <si>
    <t>potato</t>
  </si>
  <si>
    <t>vegetables n fruits</t>
  </si>
  <si>
    <t>pooja flowers</t>
  </si>
  <si>
    <t>02-20-2025</t>
  </si>
  <si>
    <t>Banana</t>
  </si>
  <si>
    <t>02-21-2025</t>
  </si>
  <si>
    <t>Homeopathy aai clinic fees</t>
  </si>
  <si>
    <t>02-22-2025</t>
  </si>
  <si>
    <t>ojasvita bournvita</t>
  </si>
  <si>
    <t>Jan - Feb</t>
  </si>
  <si>
    <t>02-23-2025</t>
  </si>
  <si>
    <t>dahi pot</t>
  </si>
  <si>
    <t>halad, mirchi, kokam</t>
  </si>
  <si>
    <t xml:space="preserve">strawberry </t>
  </si>
  <si>
    <t>watermellon</t>
  </si>
  <si>
    <t>02-25-2025</t>
  </si>
  <si>
    <t>Bill for FEB</t>
  </si>
  <si>
    <t>Farali chiwda + Rajgira ladoo</t>
  </si>
  <si>
    <t>Ice cream</t>
  </si>
  <si>
    <t>02-27-2025</t>
  </si>
  <si>
    <t>02-28-2025</t>
  </si>
  <si>
    <t>February milk bill</t>
  </si>
  <si>
    <t>Home interest paid for Feb</t>
  </si>
  <si>
    <t>Janta Sweets</t>
  </si>
  <si>
    <t>Biscuits</t>
  </si>
  <si>
    <t>aata</t>
  </si>
  <si>
    <t>Coconut water</t>
  </si>
  <si>
    <t>pav</t>
  </si>
  <si>
    <t>flower, capsicum carrot</t>
  </si>
  <si>
    <t>ATM withdrawal</t>
  </si>
  <si>
    <t>03-03-2025</t>
  </si>
  <si>
    <t>Netflix Feb &amp; March</t>
  </si>
  <si>
    <t>watermelon</t>
  </si>
  <si>
    <t>03-04-2025</t>
  </si>
  <si>
    <t>ajji hemoglobin tab</t>
  </si>
  <si>
    <t>03-06-2025</t>
  </si>
  <si>
    <t>fruits n bhaji</t>
  </si>
  <si>
    <t>03-07-2025</t>
  </si>
  <si>
    <t>03-08-2025</t>
  </si>
  <si>
    <t>auto to pune station</t>
  </si>
  <si>
    <t>snacks and nimbu pani</t>
  </si>
  <si>
    <t>Food</t>
  </si>
  <si>
    <t>Bhel</t>
  </si>
  <si>
    <t>laundry</t>
  </si>
  <si>
    <t>03-09-2025</t>
  </si>
  <si>
    <t xml:space="preserve">auto to aggrawal </t>
  </si>
  <si>
    <t>back to ujjain station</t>
  </si>
  <si>
    <t>BF</t>
  </si>
  <si>
    <t>to kalbhairav and drop at mahakaal</t>
  </si>
  <si>
    <t>Mahakal Shirts</t>
  </si>
  <si>
    <t>shipra nadi to station</t>
  </si>
  <si>
    <t>lunch at ujjain</t>
  </si>
  <si>
    <t>ujjain to omkareshwar</t>
  </si>
  <si>
    <t xml:space="preserve">ice-cream and 💧🍶 </t>
  </si>
  <si>
    <t>bhaje</t>
  </si>
  <si>
    <t>auto from omkareshwar to purnima hotel</t>
  </si>
  <si>
    <t>dinner @omkareshwar</t>
  </si>
  <si>
    <t>snacks</t>
  </si>
  <si>
    <t>03-10-2025</t>
  </si>
  <si>
    <t>narmada sangam boat ride</t>
  </si>
  <si>
    <t>BF at omkareshwar</t>
  </si>
  <si>
    <t xml:space="preserve">kullad 🧋 </t>
  </si>
  <si>
    <t>hotel to omkareshwar bus stand</t>
  </si>
  <si>
    <t>omkareshwar to indore bus ticket</t>
  </si>
  <si>
    <t xml:space="preserve">Lunch at Indore </t>
  </si>
  <si>
    <t>lassi and water bottle</t>
  </si>
  <si>
    <t>Paan 🍃</t>
  </si>
  <si>
    <t>03-11-2025</t>
  </si>
  <si>
    <t>Pune station to home</t>
  </si>
  <si>
    <t>03-12-2025</t>
  </si>
  <si>
    <t>03-13-2025</t>
  </si>
  <si>
    <t>Naral for holi, flowers, gathi</t>
  </si>
  <si>
    <t>03-16-2025</t>
  </si>
  <si>
    <t>Lassi and thandai</t>
  </si>
  <si>
    <t>03-17-2025</t>
  </si>
  <si>
    <t>tea power, pitambari, naaral</t>
  </si>
  <si>
    <t>03-18-2025</t>
  </si>
  <si>
    <t>Groceries from Instamart</t>
  </si>
  <si>
    <t>watermelon n apple</t>
  </si>
  <si>
    <t>03-19-2025</t>
  </si>
  <si>
    <t>shev</t>
  </si>
  <si>
    <t>03-20-2025</t>
  </si>
  <si>
    <t>toor dal</t>
  </si>
  <si>
    <t>tomato</t>
  </si>
  <si>
    <t>03-21-2025</t>
  </si>
  <si>
    <t>Shampoo + Hair mask</t>
  </si>
  <si>
    <t>03-22-2025</t>
  </si>
  <si>
    <t>Aaji medication</t>
  </si>
  <si>
    <t>Daal Bati family dinner</t>
  </si>
  <si>
    <t>03-23-2025</t>
  </si>
  <si>
    <t>Pune - Mumbai transportation (Ajji came to Pune) Date 26.02.25</t>
  </si>
  <si>
    <t>Ajji medication (25.02.25)</t>
  </si>
  <si>
    <t>Bathroom Mat</t>
  </si>
  <si>
    <t xml:space="preserve">lassi and coconut water </t>
  </si>
  <si>
    <t>Instamart groceries</t>
  </si>
  <si>
    <t>03-24-2025</t>
  </si>
  <si>
    <t xml:space="preserve">Kiwi and Pomegranate </t>
  </si>
  <si>
    <t>03-25-2025</t>
  </si>
  <si>
    <t>March month bill</t>
  </si>
  <si>
    <t>Instamart Fruits &amp; Groceries</t>
  </si>
  <si>
    <t>03-27-2025</t>
  </si>
  <si>
    <t>Rasmallai</t>
  </si>
  <si>
    <t>03-28-2025</t>
  </si>
  <si>
    <t>03-29-2025</t>
  </si>
  <si>
    <t xml:space="preserve">Courier </t>
  </si>
  <si>
    <t>flowers and pooja samaan</t>
  </si>
  <si>
    <t>farsan, tea powder, dahi</t>
  </si>
  <si>
    <t>makhana,dal,pista,etc</t>
  </si>
  <si>
    <t>03-30-2025</t>
  </si>
  <si>
    <t>Rabdi</t>
  </si>
  <si>
    <t>HSRP number plate (Alto)</t>
  </si>
  <si>
    <t>amul gold</t>
  </si>
  <si>
    <t>paneer laccha paratha</t>
  </si>
  <si>
    <t>04-01-2025</t>
  </si>
  <si>
    <t>icecream and hair oil</t>
  </si>
  <si>
    <t>White tape</t>
  </si>
  <si>
    <t>04-03-2025</t>
  </si>
  <si>
    <t>Amazon Prime</t>
  </si>
  <si>
    <t>04-04-2025</t>
  </si>
  <si>
    <t>agarbatti, vim bar,saunf</t>
  </si>
  <si>
    <t>flower</t>
  </si>
  <si>
    <t>Rent for March</t>
  </si>
  <si>
    <t xml:space="preserve">Manga payment </t>
  </si>
  <si>
    <t>advanced paid to bhagyashri</t>
  </si>
  <si>
    <t>Gas repair</t>
  </si>
  <si>
    <t>04-05-2025</t>
  </si>
  <si>
    <t>Veraval Stay</t>
  </si>
  <si>
    <t>Geyser switch</t>
  </si>
  <si>
    <t>Vegetables and coconut water</t>
  </si>
  <si>
    <t>Rice flour + jowar and milk</t>
  </si>
  <si>
    <t>04-06-2025</t>
  </si>
  <si>
    <t xml:space="preserve">kadipatta </t>
  </si>
  <si>
    <t>bhaji n banana</t>
  </si>
  <si>
    <t>04-07-2025</t>
  </si>
  <si>
    <t>futane</t>
  </si>
  <si>
    <t>handwash, paneer, rawa</t>
  </si>
  <si>
    <t>Home to Pune Station</t>
  </si>
  <si>
    <t>Dolo and mask</t>
  </si>
  <si>
    <t>lunch</t>
  </si>
  <si>
    <t>04-08-2025</t>
  </si>
  <si>
    <t>Tea</t>
  </si>
  <si>
    <t>sandwich + water bottle</t>
  </si>
  <si>
    <t>04-09-2025</t>
  </si>
  <si>
    <t>cloak room charges</t>
  </si>
  <si>
    <t>Dwarka Station to Temple Auto</t>
  </si>
  <si>
    <t>Chappal Stand Fee</t>
  </si>
  <si>
    <t>Breakfast + Coffee</t>
  </si>
  <si>
    <t>Scooty Rent + Petrol</t>
  </si>
  <si>
    <t>Krishna Paalna</t>
  </si>
  <si>
    <t>Darshan</t>
  </si>
  <si>
    <t>Mobile+Bag locker</t>
  </si>
  <si>
    <t>Sone ki Dwarka ticket</t>
  </si>
  <si>
    <t>nimbu pani and soda</t>
  </si>
  <si>
    <t>Fridge Magnet</t>
  </si>
  <si>
    <t>Lunch at dwarka</t>
  </si>
  <si>
    <t>IRCTC lounge</t>
  </si>
  <si>
    <t>Corn + waterbottle + tea</t>
  </si>
  <si>
    <t>Lassi</t>
  </si>
  <si>
    <t>Auto to Dwarka Station</t>
  </si>
  <si>
    <t>Gopichandan</t>
  </si>
  <si>
    <t>Naral Pani + water bottle</t>
  </si>
  <si>
    <t>Thepla &amp; Water Bottle</t>
  </si>
  <si>
    <t>04-10-2025</t>
  </si>
  <si>
    <t>Veraval Station to Hotel</t>
  </si>
  <si>
    <t>Prasad</t>
  </si>
  <si>
    <t>Water bottle</t>
  </si>
  <si>
    <t>Bhalkatirth</t>
  </si>
  <si>
    <t>Triveni Sangam</t>
  </si>
  <si>
    <t>Nimbu Pani &amp; Soda</t>
  </si>
  <si>
    <t>Paav bhaji &amp; water</t>
  </si>
  <si>
    <t>Sea View Ticket</t>
  </si>
  <si>
    <t>Bus to Dwarka</t>
  </si>
  <si>
    <t>methi</t>
  </si>
  <si>
    <t>karela</t>
  </si>
  <si>
    <t>Breakfast at Somnath</t>
  </si>
  <si>
    <t>Naral pani at somnath beach</t>
  </si>
  <si>
    <t>04-11-2025</t>
  </si>
  <si>
    <t>Ice Cream</t>
  </si>
  <si>
    <t>04-12-2025</t>
  </si>
  <si>
    <t>Cheese, curd, fennel</t>
  </si>
  <si>
    <t>lonch masala</t>
  </si>
  <si>
    <t xml:space="preserve">Bhagyashri payment </t>
  </si>
  <si>
    <t>04-13-2025</t>
  </si>
  <si>
    <t>04-16-2025</t>
  </si>
  <si>
    <t>Kelloggs</t>
  </si>
  <si>
    <t>04-17-2025</t>
  </si>
  <si>
    <t>Apr to June 2025</t>
  </si>
  <si>
    <t>04-18-2025</t>
  </si>
  <si>
    <t>loondri 😂</t>
  </si>
  <si>
    <t>bhaji and banana</t>
  </si>
  <si>
    <t>Advance payment to Manga patil</t>
  </si>
  <si>
    <t>04-19-2025</t>
  </si>
  <si>
    <t>04-20-2025</t>
  </si>
  <si>
    <t>milk and dahi</t>
  </si>
  <si>
    <t>04-21-2025</t>
  </si>
  <si>
    <t xml:space="preserve">Milk </t>
  </si>
  <si>
    <t>04-23-2025</t>
  </si>
  <si>
    <t>Chitale Milk</t>
  </si>
  <si>
    <t>04-24-2025</t>
  </si>
  <si>
    <t>Mango</t>
  </si>
  <si>
    <t>Petrol</t>
  </si>
  <si>
    <t>balance out</t>
  </si>
  <si>
    <t>Electricity Bill for Apr</t>
  </si>
  <si>
    <t>04-26-2025</t>
  </si>
  <si>
    <t xml:space="preserve">swiggy instamart </t>
  </si>
  <si>
    <t>Faucet purchase</t>
  </si>
  <si>
    <t>Filter repair</t>
  </si>
  <si>
    <t>mngl payment</t>
  </si>
  <si>
    <t>04-27-2025</t>
  </si>
  <si>
    <t>March milk bill</t>
  </si>
  <si>
    <t>bread instamart</t>
  </si>
  <si>
    <t>Vegetables+bananas</t>
  </si>
  <si>
    <t>04-28-2025</t>
  </si>
  <si>
    <t>Mango 1 kg</t>
  </si>
  <si>
    <t>04-29-2025</t>
  </si>
  <si>
    <t>Flowers and dhoop</t>
  </si>
  <si>
    <t>Pandharpur Travel Diesel</t>
  </si>
  <si>
    <t>House rent for april</t>
  </si>
  <si>
    <t>Sports shopping</t>
  </si>
  <si>
    <t>Lux</t>
  </si>
  <si>
    <t>05-03-2025</t>
  </si>
  <si>
    <t>maggie</t>
  </si>
  <si>
    <t>05-04-2025</t>
  </si>
  <si>
    <t>Municipal tax for 2025</t>
  </si>
  <si>
    <t>April Milk bill</t>
  </si>
  <si>
    <t>05-05-2025</t>
  </si>
  <si>
    <t>Advance payment to Bhagyshree</t>
  </si>
  <si>
    <t>05-06-2025</t>
  </si>
  <si>
    <t>05-08-2025</t>
  </si>
  <si>
    <t>Batteries + Colddrink@ Pandharpur</t>
  </si>
  <si>
    <t>Pandharpur Travel Toll</t>
  </si>
  <si>
    <t>Tea &amp; Snack while returning from Pandharpur</t>
  </si>
  <si>
    <t xml:space="preserve">clothes iron </t>
  </si>
  <si>
    <t>05-09-2025</t>
  </si>
  <si>
    <t>Snacks for travel</t>
  </si>
  <si>
    <t>Auto to Station</t>
  </si>
  <si>
    <t>Coffee at station</t>
  </si>
  <si>
    <t>05-10-2025</t>
  </si>
  <si>
    <t>Breakfast in train</t>
  </si>
  <si>
    <t>Coffee in Train</t>
  </si>
  <si>
    <t>Jumboking</t>
  </si>
  <si>
    <t xml:space="preserve">HYBD to Srissailam </t>
  </si>
  <si>
    <t>Water bottle at MGBS bus stand</t>
  </si>
  <si>
    <t>Nampally to MGBS metro</t>
  </si>
  <si>
    <t>Popcorn and Spicy item</t>
  </si>
  <si>
    <t>water bottle and badam milk in ghat</t>
  </si>
  <si>
    <t>Dinner at srissalilam</t>
  </si>
  <si>
    <t>05-11-2025</t>
  </si>
  <si>
    <t>Prasadam</t>
  </si>
  <si>
    <t>Nashta and coffee</t>
  </si>
  <si>
    <t>Lunch at srissailam</t>
  </si>
  <si>
    <t>mobile locker</t>
  </si>
  <si>
    <t>Auto at srissailam bus stand</t>
  </si>
  <si>
    <t>Gajra</t>
  </si>
  <si>
    <t>Rudraksha</t>
  </si>
  <si>
    <t>Fridge magnet</t>
  </si>
  <si>
    <t>Srissailam to Hyderabad bus</t>
  </si>
  <si>
    <t>Instamart (Wiper, Pins, Garbage bags, cucumber, maggie, juice)</t>
  </si>
  <si>
    <t>Washroom</t>
  </si>
  <si>
    <t>Metro to Narayanguda</t>
  </si>
  <si>
    <t>Metro to Nampally</t>
  </si>
  <si>
    <t>05-12-2025</t>
  </si>
  <si>
    <t>Home ola</t>
  </si>
  <si>
    <t>Car for Avyaan</t>
  </si>
  <si>
    <t>wheat</t>
  </si>
  <si>
    <t>Aaji tablets n courier</t>
  </si>
  <si>
    <t>egg, bread, curd</t>
  </si>
  <si>
    <t>khakra</t>
  </si>
  <si>
    <t>lichi n sabji</t>
  </si>
  <si>
    <t>05-13-2025</t>
  </si>
  <si>
    <t>aluwadi</t>
  </si>
  <si>
    <t>05-15-2025</t>
  </si>
  <si>
    <t>lassi</t>
  </si>
  <si>
    <t>05-16-2025</t>
  </si>
  <si>
    <t>Airtel Broaband recharge</t>
  </si>
  <si>
    <t>05-21-2025</t>
  </si>
  <si>
    <t>05-23-2025</t>
  </si>
  <si>
    <t>amul cream, bhendi instamart</t>
  </si>
  <si>
    <t>curd,paneer instamart</t>
  </si>
  <si>
    <t>05-24-2025</t>
  </si>
  <si>
    <t>veggies n apple</t>
  </si>
  <si>
    <t>electricity bill for May</t>
  </si>
  <si>
    <t>05-30-2025</t>
  </si>
  <si>
    <t>Lichie</t>
  </si>
  <si>
    <t>Curd,Khakra,flower,udbatti</t>
  </si>
  <si>
    <t>veggies n fruits from shetkari</t>
  </si>
  <si>
    <t>Washbasin cleaner</t>
  </si>
  <si>
    <t>House rent for May</t>
  </si>
  <si>
    <t>06-01-2025</t>
  </si>
  <si>
    <t>Dalan</t>
  </si>
  <si>
    <t xml:space="preserve">wheat n multigrain </t>
  </si>
  <si>
    <t>06-04-2025</t>
  </si>
  <si>
    <t>iron clothes</t>
  </si>
  <si>
    <t>06-05-2025</t>
  </si>
  <si>
    <t>Bare Anatomy shampoo</t>
  </si>
  <si>
    <t>Netflix (Dec24, April, May, June)</t>
  </si>
  <si>
    <t>instamart groceries - besan, good knight, sauf, milk</t>
  </si>
  <si>
    <t>06-08-2025</t>
  </si>
  <si>
    <t>Snacks&amp;Dahi - Janta + Balaji</t>
  </si>
  <si>
    <t>Mangoes</t>
  </si>
  <si>
    <t>06-09-2025</t>
  </si>
  <si>
    <t>06-10-2025</t>
  </si>
  <si>
    <t>vatpornima sahitya</t>
  </si>
  <si>
    <t>06-11-2025</t>
  </si>
  <si>
    <t>lichi</t>
  </si>
  <si>
    <t>06-12-2025</t>
  </si>
  <si>
    <t xml:space="preserve">Star City servicing </t>
  </si>
  <si>
    <t>06-14-2025</t>
  </si>
  <si>
    <t>Reliance Mart and parking</t>
  </si>
  <si>
    <t>wadapav</t>
  </si>
  <si>
    <t>Wheat and jwari</t>
  </si>
  <si>
    <t>Kirana</t>
  </si>
  <si>
    <t>vegetable+fruits</t>
  </si>
  <si>
    <t xml:space="preserve">advance to Bhagyashree </t>
  </si>
  <si>
    <t>Cash to Bhagyashree</t>
  </si>
  <si>
    <t>06-15-2025</t>
  </si>
  <si>
    <t>06-16-2025</t>
  </si>
  <si>
    <t>pav and farsan</t>
  </si>
  <si>
    <t>06-17-2025</t>
  </si>
  <si>
    <t>06-19-2025</t>
  </si>
  <si>
    <t xml:space="preserve">kothimbir, mirchi, tomato </t>
  </si>
  <si>
    <t>panipuri puri, masala,dhokla mix</t>
  </si>
  <si>
    <t>06-20-2025</t>
  </si>
  <si>
    <t xml:space="preserve">House Maintenance </t>
  </si>
  <si>
    <t>wadapav and kachori</t>
  </si>
  <si>
    <t>06-21-2025</t>
  </si>
  <si>
    <t>shev and imli chutney</t>
  </si>
  <si>
    <t>Khari</t>
  </si>
  <si>
    <t>06-22-2025</t>
  </si>
  <si>
    <t>mint,banana,ginger</t>
  </si>
  <si>
    <t>06-23-2025</t>
  </si>
  <si>
    <t>Bournvita</t>
  </si>
  <si>
    <t>bare anatomy hair mask</t>
  </si>
  <si>
    <t>06-24-2025</t>
  </si>
  <si>
    <t>kesar pedha+ chakli</t>
  </si>
  <si>
    <t>electricity bill for June</t>
  </si>
  <si>
    <t>gawar,vange,bhendi etc</t>
  </si>
  <si>
    <t>06-26-2025</t>
  </si>
  <si>
    <t xml:space="preserve">litchi </t>
  </si>
  <si>
    <t>06-27-2025</t>
  </si>
  <si>
    <t>Bill for May June</t>
  </si>
  <si>
    <t>Dhokla mix and salt</t>
  </si>
  <si>
    <t>tomato, mirchi</t>
  </si>
  <si>
    <t>dahi</t>
  </si>
  <si>
    <t xml:space="preserve">khari,muffins </t>
  </si>
  <si>
    <t>06-30-2025</t>
  </si>
  <si>
    <t>2 Dhoop, Agarbatti, 2 dhoop stand</t>
  </si>
  <si>
    <t>Diesel + Lunch (Ajji ,Mama, Mami, Aai)</t>
  </si>
  <si>
    <t>shrikhand</t>
  </si>
  <si>
    <t>pavbhaji</t>
  </si>
  <si>
    <t>curd, flowers</t>
  </si>
  <si>
    <t>07-04-2025</t>
  </si>
  <si>
    <t>House rent for June</t>
  </si>
  <si>
    <t xml:space="preserve">Q2 Maintenance </t>
  </si>
  <si>
    <t>Bill for june</t>
  </si>
  <si>
    <t>07-05-2025</t>
  </si>
  <si>
    <t xml:space="preserve">vegetables + bananas </t>
  </si>
  <si>
    <t xml:space="preserve">balaji store </t>
  </si>
  <si>
    <t>07-06-2025</t>
  </si>
  <si>
    <t>bananas</t>
  </si>
  <si>
    <t>07-08-2025</t>
  </si>
  <si>
    <t>Honey + Curd</t>
  </si>
  <si>
    <t>pear, orange</t>
  </si>
  <si>
    <t>07-12-2025</t>
  </si>
  <si>
    <t>Dustin bags and dalan</t>
  </si>
  <si>
    <t>07-13-2025</t>
  </si>
  <si>
    <t>Netflix July</t>
  </si>
  <si>
    <t>07-14-2025</t>
  </si>
  <si>
    <t>pedhe for modak</t>
  </si>
  <si>
    <t>07-15-2025</t>
  </si>
  <si>
    <t>groundnut, dahi, chikki</t>
  </si>
  <si>
    <t xml:space="preserve">Shampoo + Conditioner </t>
  </si>
  <si>
    <t>Dustbin bags</t>
  </si>
  <si>
    <t>07-18-2025</t>
  </si>
  <si>
    <t>07-21-2025</t>
  </si>
  <si>
    <t>DL renewal fee</t>
  </si>
  <si>
    <t>07-22-2025</t>
  </si>
  <si>
    <t>rice</t>
  </si>
  <si>
    <t>Nivea facewash, Kellogg's, Curd, Matchbox, Cinthol, Toast, Butter, Chakli</t>
  </si>
  <si>
    <t>07-24-2025</t>
  </si>
  <si>
    <t>Shrikhand, Garlic, Mint</t>
  </si>
  <si>
    <t>Ashurwad ata, Curd</t>
  </si>
  <si>
    <t>Adjustment done</t>
  </si>
  <si>
    <t>electricity bill for July</t>
  </si>
  <si>
    <t>07-26-2025</t>
  </si>
  <si>
    <t>filter pipe</t>
  </si>
  <si>
    <t>bhaji n apple pear banana</t>
  </si>
  <si>
    <t>07-28-2025</t>
  </si>
  <si>
    <t>toor dal, poha, rawa etc</t>
  </si>
  <si>
    <t>07-31-2025</t>
  </si>
  <si>
    <t>Rabdi + Orange</t>
  </si>
  <si>
    <t>Dahi + toast</t>
  </si>
  <si>
    <t>House rent for July</t>
  </si>
  <si>
    <t>wheat+oil</t>
  </si>
  <si>
    <t>08-04-2025</t>
  </si>
  <si>
    <t>farsan, farali chivda</t>
  </si>
  <si>
    <t>flowers</t>
  </si>
  <si>
    <t>08-05-2025</t>
  </si>
  <si>
    <t>Gemini sunflower oil,handwash, makhana etc</t>
  </si>
  <si>
    <t>apple, dragon fruit</t>
  </si>
  <si>
    <t>08-07-2025</t>
  </si>
  <si>
    <t>Aaji tablets</t>
  </si>
  <si>
    <t>08-08-2025</t>
  </si>
  <si>
    <t>paav purchase</t>
  </si>
  <si>
    <t>08-09-2025</t>
  </si>
  <si>
    <t xml:space="preserve">tailor payment </t>
  </si>
  <si>
    <t>08-10-2025</t>
  </si>
  <si>
    <t>Vim bar</t>
  </si>
  <si>
    <t>08-14-2025</t>
  </si>
  <si>
    <t>Rajgira Ladoo</t>
  </si>
  <si>
    <t>Curd</t>
  </si>
  <si>
    <t>little heart + Bhadang Chivda + Frooti + Jim Jam + AA Batteries</t>
  </si>
  <si>
    <t>Grilled Sandwich Maker &amp; Toaster</t>
  </si>
  <si>
    <t>08-17-2025</t>
  </si>
  <si>
    <t>breakfast during Pandharpur to pune</t>
  </si>
  <si>
    <t>Diesel for Pandharpur to pune</t>
  </si>
  <si>
    <t>vegetables + fruits</t>
  </si>
  <si>
    <t>08-18-2025</t>
  </si>
  <si>
    <t>Milk payment till 31 july</t>
  </si>
  <si>
    <t>08-19-2025</t>
  </si>
  <si>
    <t>bread</t>
  </si>
  <si>
    <t>08-20-2025</t>
  </si>
  <si>
    <t>Netflix August</t>
  </si>
  <si>
    <t>Discrepancy adjustment</t>
  </si>
  <si>
    <t>Vegetables n corn</t>
  </si>
  <si>
    <t>08-22-2025</t>
  </si>
  <si>
    <t>wheat aata - chakki</t>
  </si>
  <si>
    <t>08-23-2025</t>
  </si>
  <si>
    <t>ribbon + pins + pedhe</t>
  </si>
  <si>
    <t>08-24-2025</t>
  </si>
  <si>
    <t>TV Remote</t>
  </si>
  <si>
    <t>electricity bill for Aug</t>
  </si>
  <si>
    <t>August month bill</t>
  </si>
  <si>
    <t>House rent for August</t>
  </si>
  <si>
    <t>09-02-2025</t>
  </si>
  <si>
    <t>ukdiche modak</t>
  </si>
  <si>
    <t xml:space="preserve">vegetables </t>
  </si>
  <si>
    <t>val, shimla etc</t>
  </si>
  <si>
    <t>09-04-2025</t>
  </si>
  <si>
    <t>orange, banana</t>
  </si>
  <si>
    <t>09-06-2025</t>
  </si>
  <si>
    <t xml:space="preserve">Star city insurance </t>
  </si>
  <si>
    <t xml:space="preserve">Methi </t>
  </si>
  <si>
    <t>Facewash + Volini Spray + Soframycin</t>
  </si>
  <si>
    <t>Kapur</t>
  </si>
  <si>
    <t>Cook + Maid</t>
  </si>
  <si>
    <t>09-10-2025</t>
  </si>
  <si>
    <t xml:space="preserve">dahi, ketchup </t>
  </si>
  <si>
    <t>sitaphal,adrak,karla etc</t>
  </si>
  <si>
    <t>Netflix September</t>
  </si>
  <si>
    <t>09-11-2025</t>
  </si>
  <si>
    <t>coffee,facewash,butter,bread,curd</t>
  </si>
  <si>
    <t xml:space="preserve">onion n tomato </t>
  </si>
  <si>
    <t>09-12-2025</t>
  </si>
  <si>
    <t>09-16-2025</t>
  </si>
  <si>
    <t>09-17-2025</t>
  </si>
  <si>
    <t>break, pav, dahi, dhokla mix, toast</t>
  </si>
  <si>
    <t>09-19-2025</t>
  </si>
  <si>
    <t>orange</t>
  </si>
  <si>
    <t>09-20-2025</t>
  </si>
  <si>
    <t>Gemini Oil</t>
  </si>
  <si>
    <t>Balcony light &amp; Setup</t>
  </si>
  <si>
    <t>lighting</t>
  </si>
  <si>
    <t>09-21-2025</t>
  </si>
  <si>
    <t>09-22-2025</t>
  </si>
  <si>
    <t>09-23-2025</t>
  </si>
  <si>
    <t>09-24-2025</t>
  </si>
  <si>
    <t>nirma, oil, good day etc</t>
  </si>
  <si>
    <t>electricity bill for Sept</t>
  </si>
  <si>
    <t>Bhajipala</t>
  </si>
  <si>
    <t xml:space="preserve">औषध </t>
  </si>
  <si>
    <t>09-26-2025</t>
  </si>
  <si>
    <t>ironed clothes</t>
  </si>
  <si>
    <t>09-28-2025</t>
  </si>
  <si>
    <t>wheat,rice etc</t>
  </si>
  <si>
    <t>09-29-2025</t>
  </si>
  <si>
    <t>debit charge by bank</t>
  </si>
  <si>
    <t>jawar</t>
  </si>
  <si>
    <t>har, naral, flower etc</t>
  </si>
  <si>
    <t>Milk payment till sept</t>
  </si>
  <si>
    <t>10-05-2025</t>
  </si>
  <si>
    <t>10-06-2025</t>
  </si>
  <si>
    <t>apple banana karle</t>
  </si>
  <si>
    <t>Society maintenance for Q3</t>
  </si>
  <si>
    <t>10-07-2025</t>
  </si>
  <si>
    <t>balance amount</t>
  </si>
  <si>
    <t>Instamart- Dahi, butter, tea powder, paneer</t>
  </si>
  <si>
    <t xml:space="preserve">rent for September </t>
  </si>
  <si>
    <t>10-10-2025</t>
  </si>
  <si>
    <t xml:space="preserve">laundry </t>
  </si>
  <si>
    <t>10-11-2025</t>
  </si>
  <si>
    <t>Bhandyawalya mavshi</t>
  </si>
  <si>
    <t>10-12-2025</t>
  </si>
  <si>
    <t>Balaji Kirana</t>
  </si>
  <si>
    <t>10-13-2025</t>
  </si>
  <si>
    <t>Balaji store remaining amt</t>
  </si>
  <si>
    <t xml:space="preserve">misal ingredients </t>
  </si>
  <si>
    <t>pav, cheese slice, curd</t>
  </si>
  <si>
    <t>aata + papad</t>
  </si>
  <si>
    <t>10-14-2025</t>
  </si>
  <si>
    <t>flower, waal etc</t>
  </si>
  <si>
    <t>Groceries and hajmola</t>
  </si>
  <si>
    <t>10-15-2025</t>
  </si>
  <si>
    <t>10-16-2025</t>
  </si>
  <si>
    <t>handwash, khadi soap, bodywash etc</t>
  </si>
  <si>
    <t>10-18-2025</t>
  </si>
  <si>
    <t>Netflix October</t>
  </si>
  <si>
    <t>Rasgulla</t>
  </si>
  <si>
    <t>Firecrackers</t>
  </si>
  <si>
    <t>Hall TV Remote</t>
  </si>
  <si>
    <t xml:space="preserve">grocery </t>
  </si>
  <si>
    <t>pooja saaman</t>
  </si>
  <si>
    <t>Electrical pop light capacitor</t>
  </si>
  <si>
    <t>10-19-2025</t>
  </si>
  <si>
    <t>10-20-2025</t>
  </si>
  <si>
    <t>milk curd fula etc</t>
  </si>
  <si>
    <t>diwali bonus to maids</t>
  </si>
  <si>
    <t>rangoli sticker, udbatti, matke</t>
  </si>
  <si>
    <t>Peru and pappai</t>
  </si>
  <si>
    <t>Zadu</t>
  </si>
  <si>
    <t>5Fala</t>
  </si>
  <si>
    <t>Pedhe</t>
  </si>
  <si>
    <t>Pooja Saman</t>
  </si>
  <si>
    <t>vahi pen pencil eraser</t>
  </si>
  <si>
    <t>us and zenduche fula</t>
  </si>
  <si>
    <t>10-21-2025</t>
  </si>
  <si>
    <t>Dining Chairs</t>
  </si>
  <si>
    <t>10-22-2025</t>
  </si>
  <si>
    <t>दुध दही</t>
  </si>
  <si>
    <t>10-23-2025</t>
  </si>
  <si>
    <t>Ice Cream + Biscuits</t>
  </si>
  <si>
    <t>10-24-2025</t>
  </si>
  <si>
    <t>Shrikhand</t>
  </si>
  <si>
    <t xml:space="preserve">veggies </t>
  </si>
  <si>
    <t>10-25-2025</t>
  </si>
  <si>
    <t>10-29-2025</t>
  </si>
  <si>
    <t>vegetables for travel</t>
  </si>
  <si>
    <t>limbu purchase</t>
  </si>
  <si>
    <t>bill for oct 2025</t>
  </si>
  <si>
    <t>clothes + blanket</t>
  </si>
  <si>
    <t>11-05-2025</t>
  </si>
  <si>
    <t>paper plates</t>
  </si>
  <si>
    <t xml:space="preserve">dry balcony curtain </t>
  </si>
  <si>
    <t>11-06-2025</t>
  </si>
  <si>
    <t>maid salary</t>
  </si>
  <si>
    <t>11-08-2025</t>
  </si>
  <si>
    <t xml:space="preserve">rent for October </t>
  </si>
  <si>
    <t>Wheat jwari and bajra</t>
  </si>
  <si>
    <t>11-09-2025</t>
  </si>
  <si>
    <t>Reliance Mart, parking and Return auto</t>
  </si>
  <si>
    <t>11-10-2025</t>
  </si>
  <si>
    <t>tomato laiman gingar</t>
  </si>
  <si>
    <t>11-13-2025</t>
  </si>
  <si>
    <t>Vegetables+curd+milk</t>
  </si>
  <si>
    <t>pav, fula</t>
  </si>
  <si>
    <t>11-14-2025</t>
  </si>
  <si>
    <t>apple banana</t>
  </si>
  <si>
    <t>11-15-2025</t>
  </si>
  <si>
    <t xml:space="preserve">balcony drawer accessories </t>
  </si>
  <si>
    <t>11-16-2025</t>
  </si>
  <si>
    <t>vegetables+bananas+flowers</t>
  </si>
  <si>
    <t>Netflix November</t>
  </si>
  <si>
    <t>channel for drawer</t>
  </si>
  <si>
    <t>chat</t>
  </si>
  <si>
    <t>11-18-2025</t>
  </si>
  <si>
    <t>11-21-2025</t>
  </si>
  <si>
    <t>Airtel boradband</t>
  </si>
  <si>
    <t>11-22-2025</t>
  </si>
  <si>
    <t>cold cream</t>
  </si>
  <si>
    <t>11-23-2025</t>
  </si>
  <si>
    <t>11-24-2025</t>
  </si>
  <si>
    <t>orange apple</t>
  </si>
  <si>
    <t>govardhan, ladu</t>
  </si>
  <si>
    <t>nagdive</t>
  </si>
  <si>
    <t>vegetables</t>
  </si>
  <si>
    <t>maggie + masala</t>
  </si>
  <si>
    <t>11-28-2025</t>
  </si>
  <si>
    <t>wheat + chakki</t>
  </si>
  <si>
    <t>11-29-2025</t>
  </si>
  <si>
    <t>vegetables n flower</t>
  </si>
  <si>
    <t xml:space="preserve"> balance</t>
  </si>
  <si>
    <t>Vegetables+flowers</t>
  </si>
  <si>
    <t>flowers+laadu</t>
  </si>
  <si>
    <t>blub</t>
  </si>
  <si>
    <t>electricity bill for nov</t>
  </si>
  <si>
    <t>12-02-2025</t>
  </si>
  <si>
    <t>Milk payment of oct and nov</t>
  </si>
  <si>
    <t>Cook, bhandyawalya maushi</t>
  </si>
  <si>
    <t>Ojasvita, soaps, comfort</t>
  </si>
  <si>
    <t xml:space="preserve">pomegranate </t>
  </si>
  <si>
    <t xml:space="preserve">Lock Purchase </t>
  </si>
  <si>
    <t>fruits (Apple, banana, berries)</t>
  </si>
  <si>
    <t>12-05-2025</t>
  </si>
  <si>
    <t>12-06-2025</t>
  </si>
  <si>
    <t>12-07-2025</t>
  </si>
  <si>
    <t>Lock fixing,Lock batteries,Paneer,Oregano + Chilli flex,Onion</t>
  </si>
  <si>
    <t>12-08-2025</t>
  </si>
  <si>
    <t>nirma, murmura, moong, matki etc</t>
  </si>
  <si>
    <t xml:space="preserve">banana, apple, vegetables </t>
  </si>
  <si>
    <t xml:space="preserve">rent for November </t>
  </si>
  <si>
    <t>12-14-2025</t>
  </si>
  <si>
    <t>wheat,oats,tea powder,rice etc</t>
  </si>
  <si>
    <t xml:space="preserve">dudh dahi biscuit </t>
  </si>
  <si>
    <t>12-22-2025</t>
  </si>
  <si>
    <t>Data Corrections</t>
  </si>
  <si>
    <t>Added Budget for Others category as 10000</t>
  </si>
  <si>
    <t>Corrected Description as December month savings</t>
  </si>
  <si>
    <t>Changed Groceries (Kirana) to Groceries</t>
  </si>
  <si>
    <t>Removed few duplicate entries</t>
  </si>
  <si>
    <t>Highlighted entries with 0 expense amount in yellow</t>
  </si>
  <si>
    <t>Removed categories - Food, Travel, Stay, Darshan</t>
  </si>
  <si>
    <t>Category Id</t>
  </si>
  <si>
    <t>January Month Savings</t>
  </si>
  <si>
    <t>Feb Month Savings</t>
  </si>
  <si>
    <t>March Month Savings</t>
  </si>
  <si>
    <t>April Month Savings</t>
  </si>
  <si>
    <t>May Month Savings</t>
  </si>
  <si>
    <t>June Month Savings</t>
  </si>
  <si>
    <t>July Month Savings</t>
  </si>
  <si>
    <t>August Month Savings</t>
  </si>
  <si>
    <t>Sept Month Savings</t>
  </si>
  <si>
    <t>Oct Month Savings</t>
  </si>
  <si>
    <t>Nov Month Savings</t>
  </si>
  <si>
    <t>below wrong entries have been removed from January month expenses</t>
  </si>
  <si>
    <t>05-25-2025</t>
  </si>
  <si>
    <t>08-25-2025</t>
  </si>
  <si>
    <t>11-25-2025</t>
  </si>
  <si>
    <t xml:space="preserve">  </t>
  </si>
  <si>
    <t>Comments</t>
  </si>
  <si>
    <t>not present in app</t>
  </si>
  <si>
    <t>Dec month savings</t>
  </si>
  <si>
    <t>12-24-2025</t>
  </si>
  <si>
    <t>vegetable</t>
  </si>
  <si>
    <t>12-25-2025</t>
  </si>
  <si>
    <t>Total Expense</t>
  </si>
  <si>
    <t>Total 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</si>
</sst>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1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rgb="FF00B05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66CC"/>
        <bgColor indexed="64"/>
      </patternFill>
    </fill>
  </fills>
  <borders count="6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5" fillId="0" borderId="0" xfId="0" applyFont="1"/>
    <xf numFmtId="0" fontId="6" fillId="0" borderId="0" xfId="0" applyFont="1"/>
    <xf numFmtId="2" fontId="6" fillId="0" borderId="0" xfId="0" applyNumberFormat="1" applyFont="1"/>
    <xf numFmtId="0" fontId="3" fillId="0" borderId="0" xfId="0" applyFont="1"/>
    <xf numFmtId="0" fontId="1" fillId="3" borderId="3" xfId="0" applyFont="1" applyFill="1" applyBorder="1"/>
    <xf numFmtId="0" fontId="6" fillId="4" borderId="0" xfId="0" applyFont="1" applyFill="1"/>
    <xf numFmtId="2" fontId="6" fillId="4" borderId="0" xfId="0" applyNumberFormat="1" applyFont="1" applyFill="1"/>
    <xf numFmtId="164" fontId="0" fillId="0" borderId="0" xfId="0" applyNumberFormat="1"/>
    <xf numFmtId="0" fontId="0" fillId="0" borderId="0" xfId="0" applyAlignment="1">
      <alignment horizontal="left"/>
    </xf>
    <xf numFmtId="0" fontId="0" fillId="4" borderId="0" xfId="0" applyFill="1" applyAlignment="1">
      <alignment horizontal="left"/>
    </xf>
    <xf numFmtId="0" fontId="0" fillId="4" borderId="0" xfId="0" applyFill="1"/>
    <xf numFmtId="0" fontId="2" fillId="0" borderId="0" xfId="0" applyFont="1"/>
    <xf numFmtId="2" fontId="0" fillId="0" borderId="0" xfId="0" applyNumberFormat="1"/>
    <xf numFmtId="2" fontId="5" fillId="0" borderId="0" xfId="0" applyNumberFormat="1" applyFont="1"/>
    <xf numFmtId="14" fontId="6" fillId="0" borderId="0" xfId="0" applyNumberFormat="1" applyFont="1"/>
    <xf numFmtId="14" fontId="6" fillId="4" borderId="0" xfId="0" applyNumberFormat="1" applyFont="1" applyFill="1"/>
    <xf numFmtId="14" fontId="2" fillId="0" borderId="0" xfId="0" applyNumberFormat="1" applyFont="1"/>
    <xf numFmtId="2" fontId="2" fillId="0" borderId="0" xfId="0" applyNumberFormat="1" applyFont="1"/>
    <xf numFmtId="0" fontId="5" fillId="2" borderId="0" xfId="0" applyFont="1" applyFill="1"/>
    <xf numFmtId="2" fontId="5" fillId="2" borderId="0" xfId="0" applyNumberFormat="1" applyFont="1" applyFill="1"/>
    <xf numFmtId="14" fontId="6" fillId="0" borderId="2" xfId="0" applyNumberFormat="1" applyFont="1" applyBorder="1"/>
    <xf numFmtId="0" fontId="6" fillId="0" borderId="2" xfId="0" applyFont="1" applyBorder="1"/>
    <xf numFmtId="2" fontId="6" fillId="0" borderId="2" xfId="0" applyNumberFormat="1" applyFont="1" applyBorder="1"/>
    <xf numFmtId="14" fontId="6" fillId="4" borderId="2" xfId="0" applyNumberFormat="1" applyFont="1" applyFill="1" applyBorder="1"/>
    <xf numFmtId="0" fontId="6" fillId="4" borderId="2" xfId="0" applyFont="1" applyFill="1" applyBorder="1"/>
    <xf numFmtId="2" fontId="6" fillId="4" borderId="2" xfId="0" applyNumberFormat="1" applyFont="1" applyFill="1" applyBorder="1"/>
    <xf numFmtId="14" fontId="2" fillId="0" borderId="2" xfId="0" applyNumberFormat="1" applyFont="1" applyBorder="1"/>
    <xf numFmtId="0" fontId="2" fillId="0" borderId="2" xfId="0" applyFont="1" applyBorder="1"/>
    <xf numFmtId="2" fontId="2" fillId="0" borderId="2" xfId="0" applyNumberFormat="1" applyFont="1" applyBorder="1"/>
    <xf numFmtId="0" fontId="0" fillId="0" borderId="1" xfId="0" applyBorder="1" applyAlignment="1">
      <alignment horizontal="left"/>
    </xf>
    <xf numFmtId="2" fontId="6" fillId="5" borderId="2" xfId="0" applyNumberFormat="1" applyFont="1" applyFill="1" applyBorder="1"/>
    <xf numFmtId="14" fontId="6" fillId="5" borderId="2" xfId="0" applyNumberFormat="1" applyFont="1" applyFill="1" applyBorder="1"/>
    <xf numFmtId="0" fontId="6" fillId="5" borderId="2" xfId="0" applyFont="1" applyFill="1" applyBorder="1"/>
    <xf numFmtId="14" fontId="6" fillId="0" borderId="4" xfId="0" applyNumberFormat="1" applyFont="1" applyBorder="1"/>
    <xf numFmtId="0" fontId="6" fillId="0" borderId="5" xfId="0" applyFont="1" applyBorder="1"/>
    <xf numFmtId="2" fontId="6" fillId="6" borderId="2" xfId="0" applyNumberFormat="1" applyFont="1" applyFill="1" applyBorder="1"/>
    <xf numFmtId="2" fontId="6" fillId="7" borderId="2" xfId="0" applyNumberFormat="1" applyFont="1" applyFill="1" applyBorder="1"/>
    <xf numFmtId="2" fontId="6" fillId="8" borderId="2" xfId="0" applyNumberFormat="1" applyFont="1" applyFill="1" applyBorder="1"/>
    <xf numFmtId="14" fontId="2" fillId="0" borderId="4" xfId="0" applyNumberFormat="1" applyFont="1" applyBorder="1"/>
    <xf numFmtId="0" fontId="2" fillId="0" borderId="5" xfId="0" applyFont="1" applyBorder="1"/>
    <xf numFmtId="2" fontId="2" fillId="8" borderId="2" xfId="0" applyNumberFormat="1" applyFont="1" applyFill="1" applyBorder="1"/>
    <xf numFmtId="2" fontId="6" fillId="9" borderId="2" xfId="0" applyNumberFormat="1" applyFont="1" applyFill="1" applyBorder="1"/>
    <xf numFmtId="2" fontId="6" fillId="10" borderId="2" xfId="0" applyNumberFormat="1" applyFont="1" applyFill="1" applyBorder="1"/>
    <xf numFmtId="0" fontId="2" fillId="0" borderId="0" xfId="0" applyFont="1" applyFill="1" applyBorder="1"/>
    <xf numFmtId="2" fontId="6" fillId="11" borderId="2" xfId="0" applyNumberFormat="1" applyFont="1" applyFill="1" applyBorder="1"/>
    <xf numFmtId="2" fontId="11" fillId="0" borderId="2" xfId="0" applyNumberFormat="1" applyFont="1" applyBorder="1"/>
    <xf numFmtId="14" fontId="2" fillId="0" borderId="0" xfId="0" applyNumberFormat="1" applyFont="1" applyFill="1" applyBorder="1"/>
  </cellXfs>
  <cellStyles count="1">
    <cellStyle name="Normal" xfId="0" builtinId="0"/>
  </cellStyles>
  <dxfs count="3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numFmt numFmtId="164" formatCode="mm/dd/yyyy"/>
    </dxf>
    <dxf>
      <numFmt numFmtId="164" formatCode="mm/d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 outline="0">
        <left/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 outline="0">
        <left/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border diagonalUp="0" diagonalDown="0" outline="0">
        <left/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 outline="0">
        <left/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9" formatCode="dd/mm/yyyy"/>
      <border diagonalUp="0" diagonalDown="0" outline="0">
        <left/>
        <right/>
        <top style="thin">
          <color theme="4"/>
        </top>
        <bottom/>
      </border>
    </dxf>
    <dxf>
      <border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colors>
    <mruColors>
      <color rgb="FFFF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57E93F1-FF84-4E57-BFD8-3B1679764A26}" name="Table14" displayName="Table14" ref="A1:C169" totalsRowShown="0">
  <autoFilter ref="A1:C169" xr:uid="{D57E93F1-FF84-4E57-BFD8-3B1679764A26}"/>
  <sortState xmlns:xlrd2="http://schemas.microsoft.com/office/spreadsheetml/2017/richdata2" ref="A2:B14">
    <sortCondition ref="A2:A14"/>
  </sortState>
  <tableColumns count="3">
    <tableColumn id="1" xr3:uid="{A757BA71-3201-41E2-B7FC-CFE25E622F90}" name="Category" dataDxfId="21"/>
    <tableColumn id="2" xr3:uid="{10ABC9B8-FECA-42A4-A145-1BB8246DFC11}" name="Amount"/>
    <tableColumn id="3" xr3:uid="{6B9B619B-7262-4F47-AFA2-2A8C4F39BD74}" name="Month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76CE19A-73AA-4BED-85AE-BA1B98C93C5D}" name="Table4" displayName="Table4" ref="F1:G13" totalsRowShown="0">
  <autoFilter ref="F1:G13" xr:uid="{476CE19A-73AA-4BED-85AE-BA1B98C93C5D}"/>
  <tableColumns count="2">
    <tableColumn id="1" xr3:uid="{6F6DDD81-0115-49B5-A7B9-6B1DAED211AF}" name="Month"/>
    <tableColumn id="2" xr3:uid="{6F409EF7-C64D-45F1-962A-81BA30CE9BAC}" name="Category Total">
      <calculatedColumnFormula>SUMIF(Table14[Month],$F2,Table14[Amount])</calculatedColumnFormula>
    </tableColumn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94CFAAC-A867-4775-AD19-16F976BC579D}" name="Table1" displayName="Table1" ref="A1:E53" totalsRowShown="0" headerRowDxfId="20" dataDxfId="19">
  <autoFilter ref="A1:E53" xr:uid="{D94CFAAC-A867-4775-AD19-16F976BC579D}"/>
  <tableColumns count="5">
    <tableColumn id="1" xr3:uid="{0767CF1E-0697-4037-82B3-FF83B369E89B}" name="Date of Input" dataDxfId="18" totalsRowDxfId="4"/>
    <tableColumn id="2" xr3:uid="{5BDD3B15-FBAB-43BC-B777-6A31E79DFF1D}" name="Description" dataDxfId="17" totalsRowDxfId="3"/>
    <tableColumn id="3" xr3:uid="{4E4AC742-F32F-42F5-B3B2-1497143E39DD}" name="Amount" dataDxfId="16" totalsRowDxfId="2"/>
    <tableColumn id="4" xr3:uid="{5469B3CC-88C7-43D5-BAC8-311512BB233C}" name="Category" dataDxfId="15" totalsRowDxfId="1"/>
    <tableColumn id="5" xr3:uid="{04BA2622-88D3-42AC-B5B6-37FC2C9AB126}" name="Month" dataDxfId="14" totalsRowDxfId="0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EF08726-C36D-4BC3-A4B3-9CC5FAE1F0BB}" name="Table6" displayName="Table6" ref="A1:E596" totalsRowShown="0" headerRowDxfId="29" dataDxfId="28" tableBorderDxfId="27">
  <autoFilter ref="A1:E596" xr:uid="{AEF08726-C36D-4BC3-A4B3-9CC5FAE1F0BB}"/>
  <tableColumns count="5">
    <tableColumn id="1" xr3:uid="{F82E302D-9E7A-45E8-9770-326C8EB6CB9D}" name="Date" dataDxfId="26"/>
    <tableColumn id="2" xr3:uid="{A6CFEAF7-96FB-4EEC-967A-FA14FDA34572}" name="Description" dataDxfId="25"/>
    <tableColumn id="3" xr3:uid="{0E44DB57-2C23-4237-B19B-A030D70F90A5}" name="Amount" dataDxfId="24"/>
    <tableColumn id="4" xr3:uid="{533C8ED5-79FD-44FE-AA11-393DEC7238DD}" name="Category" dataDxfId="23"/>
    <tableColumn id="5" xr3:uid="{AF172D57-37AC-4777-95FA-950027E73324}" name="Month" dataDxfId="22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4F3F44C-CB19-4639-B152-86669836CD62}" name="Table2" displayName="Table2" ref="A4:C16" totalsRowShown="0">
  <autoFilter ref="A4:C16" xr:uid="{B4F3F44C-CB19-4639-B152-86669836CD62}"/>
  <tableColumns count="3">
    <tableColumn id="1" xr3:uid="{2A5B8027-E4BD-4DD4-9C80-54B46031EB3E}" name="Month"/>
    <tableColumn id="2" xr3:uid="{472906AE-CF20-4099-ADD9-15F90E576270}" name="From" dataDxfId="6">
      <calculatedColumnFormula>C4+1</calculatedColumnFormula>
    </tableColumn>
    <tableColumn id="3" xr3:uid="{B49953C6-6E5A-4E1E-8A20-E0738EAAACD0}" name="To" dataDxfId="5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8FDA274-D1D6-478A-B972-B1E236C9D404}" name="Table7" displayName="Table7" ref="F4:G19" totalsRowShown="0">
  <autoFilter ref="F4:G19" xr:uid="{A8FDA274-D1D6-478A-B972-B1E236C9D404}"/>
  <tableColumns count="2">
    <tableColumn id="1" xr3:uid="{01EB1F1D-6AEB-4D63-A6D4-D6094600E84D}" name="Category Id"/>
    <tableColumn id="2" xr3:uid="{EC66D9D9-780F-442E-8EAA-D7A8001640ED}" name="Category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A00F646-3AB1-4605-A183-2CC658069343}" name="Table5" displayName="Table5" ref="A1:E690" totalsRowShown="0" headerRowDxfId="13" dataDxfId="12">
  <autoFilter ref="A1:E690" xr:uid="{1A00F646-3AB1-4605-A183-2CC658069343}"/>
  <tableColumns count="5">
    <tableColumn id="1" xr3:uid="{154D0D63-31CB-42B0-8B82-1334594115EB}" name="Date" dataDxfId="11"/>
    <tableColumn id="2" xr3:uid="{414F2AD8-2FE1-43B5-8A39-0F089EF857BB}" name="Description" dataDxfId="10"/>
    <tableColumn id="3" xr3:uid="{016CC63A-DF62-4E6C-B2C5-1C5EE59DA4BB}" name="Amount" dataDxfId="9"/>
    <tableColumn id="4" xr3:uid="{1F2CF0F9-FC0A-477F-A770-85DE87DCBFD4}" name="Category" dataDxfId="8"/>
    <tableColumn id="5" xr3:uid="{85738D21-DA8F-470D-8622-42B0FD5F4D2F}" name="Month" dataDxfId="7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3.vml"/><Relationship Id="rId4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7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7112D-0954-4917-9272-3C3812FDD7E7}">
  <dimension ref="A1:G169"/>
  <sheetViews>
    <sheetView workbookViewId="0">
      <selection activeCell="J2" sqref="J2:K4"/>
    </sheetView>
  </sheetViews>
  <sheetFormatPr defaultRowHeight="15" x14ac:dyDescent="0.25"/>
  <cols>
    <col min="1" max="1" width="19.7109375" bestFit="1" customWidth="1"/>
    <col min="3" max="3" width="10.85546875" bestFit="1" customWidth="1"/>
    <col min="6" max="6" width="15.42578125" bestFit="1" customWidth="1"/>
    <col min="7" max="7" width="15.85546875" customWidth="1"/>
    <col min="10" max="10" width="19.7109375" bestFit="1" customWidth="1"/>
  </cols>
  <sheetData>
    <row r="1" spans="1:7" x14ac:dyDescent="0.25">
      <c r="A1" t="s">
        <v>55</v>
      </c>
      <c r="B1" t="s">
        <v>56</v>
      </c>
      <c r="C1" t="s">
        <v>54</v>
      </c>
      <c r="F1" t="s">
        <v>54</v>
      </c>
      <c r="G1" t="s">
        <v>113</v>
      </c>
    </row>
    <row r="2" spans="1:7" x14ac:dyDescent="0.25">
      <c r="A2" s="9" t="s">
        <v>99</v>
      </c>
      <c r="B2">
        <v>4500</v>
      </c>
      <c r="C2" t="s">
        <v>46</v>
      </c>
      <c r="F2" t="s">
        <v>46</v>
      </c>
      <c r="G2">
        <f>SUMIF(Table14[Month],$F2,Table14[Amount])</f>
        <v>74233</v>
      </c>
    </row>
    <row r="3" spans="1:7" x14ac:dyDescent="0.25">
      <c r="A3" s="9" t="s">
        <v>100</v>
      </c>
      <c r="B3">
        <v>1500</v>
      </c>
      <c r="C3" t="s">
        <v>46</v>
      </c>
      <c r="F3" t="s">
        <v>39</v>
      </c>
      <c r="G3">
        <f>SUMIF(Table14[Month],$F3,Table14[Amount])</f>
        <v>75433</v>
      </c>
    </row>
    <row r="4" spans="1:7" x14ac:dyDescent="0.25">
      <c r="A4" s="9" t="s">
        <v>101</v>
      </c>
      <c r="B4">
        <v>2500</v>
      </c>
      <c r="C4" t="s">
        <v>46</v>
      </c>
      <c r="F4" t="s">
        <v>32</v>
      </c>
      <c r="G4">
        <f>SUMIF(Table14[Month],$F4,Table14[Amount])</f>
        <v>75433</v>
      </c>
    </row>
    <row r="5" spans="1:7" x14ac:dyDescent="0.25">
      <c r="A5" s="9" t="s">
        <v>102</v>
      </c>
      <c r="B5">
        <v>10000</v>
      </c>
      <c r="C5" t="s">
        <v>46</v>
      </c>
      <c r="F5" t="s">
        <v>26</v>
      </c>
      <c r="G5">
        <f>SUMIF(Table14[Month],$F5,Table14[Amount])</f>
        <v>75433</v>
      </c>
    </row>
    <row r="6" spans="1:7" x14ac:dyDescent="0.25">
      <c r="A6" s="9" t="s">
        <v>103</v>
      </c>
      <c r="B6">
        <v>19200</v>
      </c>
      <c r="C6" t="s">
        <v>46</v>
      </c>
      <c r="F6" t="s">
        <v>20</v>
      </c>
      <c r="G6">
        <f>SUMIF(Table14[Month],$F6,Table14[Amount])</f>
        <v>86633</v>
      </c>
    </row>
    <row r="7" spans="1:7" x14ac:dyDescent="0.25">
      <c r="A7" s="9" t="s">
        <v>104</v>
      </c>
      <c r="B7">
        <v>2000</v>
      </c>
      <c r="C7" t="s">
        <v>46</v>
      </c>
      <c r="F7" t="s">
        <v>14</v>
      </c>
      <c r="G7">
        <f>SUMIF(Table14[Month],$F7,Table14[Amount])</f>
        <v>86633</v>
      </c>
    </row>
    <row r="8" spans="1:7" x14ac:dyDescent="0.25">
      <c r="A8" s="9" t="s">
        <v>112</v>
      </c>
      <c r="B8">
        <v>1133</v>
      </c>
      <c r="C8" t="s">
        <v>46</v>
      </c>
      <c r="F8" t="s">
        <v>8</v>
      </c>
      <c r="G8">
        <f>SUMIF(Table14[Month],$F8,Table14[Amount])</f>
        <v>86633</v>
      </c>
    </row>
    <row r="9" spans="1:7" x14ac:dyDescent="0.25">
      <c r="A9" s="9" t="s">
        <v>105</v>
      </c>
      <c r="B9">
        <v>600</v>
      </c>
      <c r="C9" t="s">
        <v>46</v>
      </c>
      <c r="F9" t="s">
        <v>0</v>
      </c>
      <c r="G9">
        <f>SUMIF(Table14[Month],$F9,Table14[Amount])</f>
        <v>86633</v>
      </c>
    </row>
    <row r="10" spans="1:7" x14ac:dyDescent="0.25">
      <c r="A10" s="9" t="s">
        <v>106</v>
      </c>
      <c r="B10">
        <v>6000</v>
      </c>
      <c r="C10" t="s">
        <v>46</v>
      </c>
      <c r="F10" t="s">
        <v>80</v>
      </c>
      <c r="G10">
        <f>SUMIF(Table14[Month],$F10,Table14[Amount])</f>
        <v>86633</v>
      </c>
    </row>
    <row r="11" spans="1:7" x14ac:dyDescent="0.25">
      <c r="A11" s="9" t="s">
        <v>107</v>
      </c>
      <c r="B11">
        <v>2500</v>
      </c>
      <c r="C11" t="s">
        <v>46</v>
      </c>
      <c r="F11" t="s">
        <v>81</v>
      </c>
      <c r="G11">
        <f>SUMIF(Table14[Month],$F11,Table14[Amount])</f>
        <v>94433</v>
      </c>
    </row>
    <row r="12" spans="1:7" x14ac:dyDescent="0.25">
      <c r="A12" s="9" t="s">
        <v>108</v>
      </c>
      <c r="B12">
        <v>1000</v>
      </c>
      <c r="C12" t="s">
        <v>46</v>
      </c>
      <c r="F12" t="s">
        <v>82</v>
      </c>
      <c r="G12">
        <f>SUMIF(Table14[Month],$F12,Table14[Amount])</f>
        <v>94633</v>
      </c>
    </row>
    <row r="13" spans="1:7" x14ac:dyDescent="0.25">
      <c r="A13" s="9" t="s">
        <v>110</v>
      </c>
      <c r="B13">
        <v>10800</v>
      </c>
      <c r="C13" t="s">
        <v>46</v>
      </c>
      <c r="F13" t="s">
        <v>83</v>
      </c>
      <c r="G13">
        <f>SUMIF(Table14[Month],$F13,Table14[Amount])</f>
        <v>94633</v>
      </c>
    </row>
    <row r="14" spans="1:7" x14ac:dyDescent="0.25">
      <c r="A14" s="9" t="s">
        <v>111</v>
      </c>
      <c r="B14">
        <v>2500</v>
      </c>
      <c r="C14" t="s">
        <v>46</v>
      </c>
    </row>
    <row r="15" spans="1:7" x14ac:dyDescent="0.25">
      <c r="A15" s="9" t="s">
        <v>109</v>
      </c>
      <c r="B15">
        <v>10000</v>
      </c>
      <c r="C15" t="s">
        <v>46</v>
      </c>
    </row>
    <row r="16" spans="1:7" x14ac:dyDescent="0.25">
      <c r="A16" s="9" t="s">
        <v>99</v>
      </c>
      <c r="B16">
        <v>4500</v>
      </c>
      <c r="C16" t="s">
        <v>39</v>
      </c>
    </row>
    <row r="17" spans="1:3" x14ac:dyDescent="0.25">
      <c r="A17" s="9" t="s">
        <v>100</v>
      </c>
      <c r="B17">
        <v>1500</v>
      </c>
      <c r="C17" t="s">
        <v>39</v>
      </c>
    </row>
    <row r="18" spans="1:3" x14ac:dyDescent="0.25">
      <c r="A18" s="9" t="s">
        <v>101</v>
      </c>
      <c r="B18">
        <v>2500</v>
      </c>
      <c r="C18" t="s">
        <v>39</v>
      </c>
    </row>
    <row r="19" spans="1:3" x14ac:dyDescent="0.25">
      <c r="A19" s="9" t="s">
        <v>102</v>
      </c>
      <c r="B19">
        <v>10000</v>
      </c>
      <c r="C19" t="s">
        <v>39</v>
      </c>
    </row>
    <row r="20" spans="1:3" x14ac:dyDescent="0.25">
      <c r="A20" s="9" t="s">
        <v>103</v>
      </c>
      <c r="B20">
        <v>19200</v>
      </c>
      <c r="C20" t="s">
        <v>39</v>
      </c>
    </row>
    <row r="21" spans="1:3" x14ac:dyDescent="0.25">
      <c r="A21" s="9" t="s">
        <v>104</v>
      </c>
      <c r="B21">
        <v>2000</v>
      </c>
      <c r="C21" t="s">
        <v>39</v>
      </c>
    </row>
    <row r="22" spans="1:3" x14ac:dyDescent="0.25">
      <c r="A22" s="9" t="s">
        <v>112</v>
      </c>
      <c r="B22">
        <v>1133</v>
      </c>
      <c r="C22" t="s">
        <v>39</v>
      </c>
    </row>
    <row r="23" spans="1:3" x14ac:dyDescent="0.25">
      <c r="A23" s="9" t="s">
        <v>105</v>
      </c>
      <c r="B23">
        <v>600</v>
      </c>
      <c r="C23" t="s">
        <v>39</v>
      </c>
    </row>
    <row r="24" spans="1:3" x14ac:dyDescent="0.25">
      <c r="A24" s="10" t="s">
        <v>106</v>
      </c>
      <c r="B24" s="11">
        <v>6300</v>
      </c>
      <c r="C24" t="s">
        <v>39</v>
      </c>
    </row>
    <row r="25" spans="1:3" x14ac:dyDescent="0.25">
      <c r="A25" s="9" t="s">
        <v>107</v>
      </c>
      <c r="B25">
        <v>2500</v>
      </c>
      <c r="C25" t="s">
        <v>39</v>
      </c>
    </row>
    <row r="26" spans="1:3" x14ac:dyDescent="0.25">
      <c r="A26" s="9" t="s">
        <v>108</v>
      </c>
      <c r="B26">
        <v>1000</v>
      </c>
      <c r="C26" t="s">
        <v>39</v>
      </c>
    </row>
    <row r="27" spans="1:3" x14ac:dyDescent="0.25">
      <c r="A27" s="10" t="s">
        <v>110</v>
      </c>
      <c r="B27" s="11">
        <v>11700</v>
      </c>
      <c r="C27" t="s">
        <v>39</v>
      </c>
    </row>
    <row r="28" spans="1:3" x14ac:dyDescent="0.25">
      <c r="A28" s="9" t="s">
        <v>111</v>
      </c>
      <c r="B28">
        <v>2500</v>
      </c>
      <c r="C28" t="s">
        <v>39</v>
      </c>
    </row>
    <row r="29" spans="1:3" x14ac:dyDescent="0.25">
      <c r="A29" s="9" t="s">
        <v>109</v>
      </c>
      <c r="B29">
        <v>10000</v>
      </c>
      <c r="C29" t="s">
        <v>39</v>
      </c>
    </row>
    <row r="30" spans="1:3" x14ac:dyDescent="0.25">
      <c r="A30" s="9" t="s">
        <v>99</v>
      </c>
      <c r="B30">
        <v>4500</v>
      </c>
      <c r="C30" t="s">
        <v>32</v>
      </c>
    </row>
    <row r="31" spans="1:3" x14ac:dyDescent="0.25">
      <c r="A31" s="9" t="s">
        <v>100</v>
      </c>
      <c r="B31">
        <v>1500</v>
      </c>
      <c r="C31" t="s">
        <v>32</v>
      </c>
    </row>
    <row r="32" spans="1:3" x14ac:dyDescent="0.25">
      <c r="A32" s="9" t="s">
        <v>101</v>
      </c>
      <c r="B32">
        <v>2500</v>
      </c>
      <c r="C32" t="s">
        <v>32</v>
      </c>
    </row>
    <row r="33" spans="1:3" x14ac:dyDescent="0.25">
      <c r="A33" s="9" t="s">
        <v>102</v>
      </c>
      <c r="B33">
        <v>10000</v>
      </c>
      <c r="C33" t="s">
        <v>32</v>
      </c>
    </row>
    <row r="34" spans="1:3" x14ac:dyDescent="0.25">
      <c r="A34" s="9" t="s">
        <v>103</v>
      </c>
      <c r="B34">
        <v>19200</v>
      </c>
      <c r="C34" t="s">
        <v>32</v>
      </c>
    </row>
    <row r="35" spans="1:3" x14ac:dyDescent="0.25">
      <c r="A35" s="9" t="s">
        <v>104</v>
      </c>
      <c r="B35">
        <v>2000</v>
      </c>
      <c r="C35" t="s">
        <v>32</v>
      </c>
    </row>
    <row r="36" spans="1:3" x14ac:dyDescent="0.25">
      <c r="A36" s="9" t="s">
        <v>112</v>
      </c>
      <c r="B36">
        <v>1133</v>
      </c>
      <c r="C36" t="s">
        <v>32</v>
      </c>
    </row>
    <row r="37" spans="1:3" x14ac:dyDescent="0.25">
      <c r="A37" s="9" t="s">
        <v>105</v>
      </c>
      <c r="B37">
        <v>600</v>
      </c>
      <c r="C37" t="s">
        <v>32</v>
      </c>
    </row>
    <row r="38" spans="1:3" x14ac:dyDescent="0.25">
      <c r="A38" s="9" t="s">
        <v>106</v>
      </c>
      <c r="B38">
        <v>6300</v>
      </c>
      <c r="C38" t="s">
        <v>32</v>
      </c>
    </row>
    <row r="39" spans="1:3" x14ac:dyDescent="0.25">
      <c r="A39" s="9" t="s">
        <v>107</v>
      </c>
      <c r="B39">
        <v>2500</v>
      </c>
      <c r="C39" t="s">
        <v>32</v>
      </c>
    </row>
    <row r="40" spans="1:3" x14ac:dyDescent="0.25">
      <c r="A40" s="9" t="s">
        <v>108</v>
      </c>
      <c r="B40">
        <v>1000</v>
      </c>
      <c r="C40" t="s">
        <v>32</v>
      </c>
    </row>
    <row r="41" spans="1:3" x14ac:dyDescent="0.25">
      <c r="A41" s="9" t="s">
        <v>110</v>
      </c>
      <c r="B41">
        <v>11700</v>
      </c>
      <c r="C41" t="s">
        <v>32</v>
      </c>
    </row>
    <row r="42" spans="1:3" x14ac:dyDescent="0.25">
      <c r="A42" s="9" t="s">
        <v>111</v>
      </c>
      <c r="B42">
        <v>2500</v>
      </c>
      <c r="C42" t="s">
        <v>32</v>
      </c>
    </row>
    <row r="43" spans="1:3" x14ac:dyDescent="0.25">
      <c r="A43" s="9" t="s">
        <v>109</v>
      </c>
      <c r="B43">
        <v>10000</v>
      </c>
      <c r="C43" t="s">
        <v>32</v>
      </c>
    </row>
    <row r="44" spans="1:3" x14ac:dyDescent="0.25">
      <c r="A44" s="9" t="s">
        <v>99</v>
      </c>
      <c r="B44">
        <v>4500</v>
      </c>
      <c r="C44" t="s">
        <v>26</v>
      </c>
    </row>
    <row r="45" spans="1:3" x14ac:dyDescent="0.25">
      <c r="A45" s="9" t="s">
        <v>100</v>
      </c>
      <c r="B45">
        <v>1500</v>
      </c>
      <c r="C45" t="s">
        <v>26</v>
      </c>
    </row>
    <row r="46" spans="1:3" x14ac:dyDescent="0.25">
      <c r="A46" s="9" t="s">
        <v>101</v>
      </c>
      <c r="B46">
        <v>2500</v>
      </c>
      <c r="C46" t="s">
        <v>26</v>
      </c>
    </row>
    <row r="47" spans="1:3" x14ac:dyDescent="0.25">
      <c r="A47" s="9" t="s">
        <v>102</v>
      </c>
      <c r="B47">
        <v>10000</v>
      </c>
      <c r="C47" t="s">
        <v>26</v>
      </c>
    </row>
    <row r="48" spans="1:3" x14ac:dyDescent="0.25">
      <c r="A48" s="9" t="s">
        <v>103</v>
      </c>
      <c r="B48">
        <v>19200</v>
      </c>
      <c r="C48" t="s">
        <v>26</v>
      </c>
    </row>
    <row r="49" spans="1:3" x14ac:dyDescent="0.25">
      <c r="A49" s="9" t="s">
        <v>104</v>
      </c>
      <c r="B49">
        <v>2000</v>
      </c>
      <c r="C49" t="s">
        <v>26</v>
      </c>
    </row>
    <row r="50" spans="1:3" x14ac:dyDescent="0.25">
      <c r="A50" s="9" t="s">
        <v>112</v>
      </c>
      <c r="B50">
        <v>1133</v>
      </c>
      <c r="C50" t="s">
        <v>26</v>
      </c>
    </row>
    <row r="51" spans="1:3" x14ac:dyDescent="0.25">
      <c r="A51" s="9" t="s">
        <v>105</v>
      </c>
      <c r="B51">
        <v>600</v>
      </c>
      <c r="C51" t="s">
        <v>26</v>
      </c>
    </row>
    <row r="52" spans="1:3" x14ac:dyDescent="0.25">
      <c r="A52" s="9" t="s">
        <v>106</v>
      </c>
      <c r="B52">
        <v>6300</v>
      </c>
      <c r="C52" t="s">
        <v>26</v>
      </c>
    </row>
    <row r="53" spans="1:3" x14ac:dyDescent="0.25">
      <c r="A53" s="9" t="s">
        <v>107</v>
      </c>
      <c r="B53">
        <v>2500</v>
      </c>
      <c r="C53" t="s">
        <v>26</v>
      </c>
    </row>
    <row r="54" spans="1:3" x14ac:dyDescent="0.25">
      <c r="A54" s="9" t="s">
        <v>108</v>
      </c>
      <c r="B54">
        <v>1000</v>
      </c>
      <c r="C54" t="s">
        <v>26</v>
      </c>
    </row>
    <row r="55" spans="1:3" x14ac:dyDescent="0.25">
      <c r="A55" s="9" t="s">
        <v>110</v>
      </c>
      <c r="B55">
        <v>11700</v>
      </c>
      <c r="C55" t="s">
        <v>26</v>
      </c>
    </row>
    <row r="56" spans="1:3" x14ac:dyDescent="0.25">
      <c r="A56" s="9" t="s">
        <v>111</v>
      </c>
      <c r="B56">
        <v>2500</v>
      </c>
      <c r="C56" t="s">
        <v>26</v>
      </c>
    </row>
    <row r="57" spans="1:3" x14ac:dyDescent="0.25">
      <c r="A57" s="9" t="s">
        <v>109</v>
      </c>
      <c r="B57">
        <v>10000</v>
      </c>
      <c r="C57" t="s">
        <v>26</v>
      </c>
    </row>
    <row r="58" spans="1:3" x14ac:dyDescent="0.25">
      <c r="A58" s="9" t="s">
        <v>99</v>
      </c>
      <c r="B58">
        <v>4500</v>
      </c>
      <c r="C58" t="s">
        <v>20</v>
      </c>
    </row>
    <row r="59" spans="1:3" x14ac:dyDescent="0.25">
      <c r="A59" s="9" t="s">
        <v>100</v>
      </c>
      <c r="B59">
        <v>1500</v>
      </c>
      <c r="C59" t="s">
        <v>20</v>
      </c>
    </row>
    <row r="60" spans="1:3" x14ac:dyDescent="0.25">
      <c r="A60" s="9" t="s">
        <v>101</v>
      </c>
      <c r="B60">
        <v>2500</v>
      </c>
      <c r="C60" t="s">
        <v>20</v>
      </c>
    </row>
    <row r="61" spans="1:3" x14ac:dyDescent="0.25">
      <c r="A61" s="9" t="s">
        <v>102</v>
      </c>
      <c r="B61">
        <v>10000</v>
      </c>
      <c r="C61" t="s">
        <v>20</v>
      </c>
    </row>
    <row r="62" spans="1:3" x14ac:dyDescent="0.25">
      <c r="A62" s="9" t="s">
        <v>103</v>
      </c>
      <c r="B62">
        <v>19200</v>
      </c>
      <c r="C62" t="s">
        <v>20</v>
      </c>
    </row>
    <row r="63" spans="1:3" x14ac:dyDescent="0.25">
      <c r="A63" s="9" t="s">
        <v>104</v>
      </c>
      <c r="B63">
        <v>2000</v>
      </c>
      <c r="C63" t="s">
        <v>20</v>
      </c>
    </row>
    <row r="64" spans="1:3" x14ac:dyDescent="0.25">
      <c r="A64" s="9" t="s">
        <v>112</v>
      </c>
      <c r="B64">
        <v>1133</v>
      </c>
      <c r="C64" t="s">
        <v>20</v>
      </c>
    </row>
    <row r="65" spans="1:3" x14ac:dyDescent="0.25">
      <c r="A65" s="9" t="s">
        <v>105</v>
      </c>
      <c r="B65">
        <v>600</v>
      </c>
      <c r="C65" t="s">
        <v>20</v>
      </c>
    </row>
    <row r="66" spans="1:3" x14ac:dyDescent="0.25">
      <c r="A66" s="10" t="s">
        <v>106</v>
      </c>
      <c r="B66" s="11">
        <v>6500</v>
      </c>
      <c r="C66" t="s">
        <v>20</v>
      </c>
    </row>
    <row r="67" spans="1:3" x14ac:dyDescent="0.25">
      <c r="A67" s="9" t="s">
        <v>107</v>
      </c>
      <c r="B67">
        <v>2500</v>
      </c>
      <c r="C67" t="s">
        <v>20</v>
      </c>
    </row>
    <row r="68" spans="1:3" x14ac:dyDescent="0.25">
      <c r="A68" s="10" t="s">
        <v>108</v>
      </c>
      <c r="B68" s="11">
        <v>12000</v>
      </c>
      <c r="C68" t="s">
        <v>20</v>
      </c>
    </row>
    <row r="69" spans="1:3" x14ac:dyDescent="0.25">
      <c r="A69" s="9" t="s">
        <v>110</v>
      </c>
      <c r="B69">
        <v>11700</v>
      </c>
      <c r="C69" t="s">
        <v>20</v>
      </c>
    </row>
    <row r="70" spans="1:3" x14ac:dyDescent="0.25">
      <c r="A70" s="9" t="s">
        <v>111</v>
      </c>
      <c r="B70">
        <v>2500</v>
      </c>
      <c r="C70" t="s">
        <v>20</v>
      </c>
    </row>
    <row r="71" spans="1:3" x14ac:dyDescent="0.25">
      <c r="A71" s="9" t="s">
        <v>109</v>
      </c>
      <c r="B71">
        <v>10000</v>
      </c>
      <c r="C71" t="s">
        <v>20</v>
      </c>
    </row>
    <row r="72" spans="1:3" x14ac:dyDescent="0.25">
      <c r="A72" s="9" t="s">
        <v>99</v>
      </c>
      <c r="B72">
        <v>4500</v>
      </c>
      <c r="C72" t="s">
        <v>14</v>
      </c>
    </row>
    <row r="73" spans="1:3" x14ac:dyDescent="0.25">
      <c r="A73" s="9" t="s">
        <v>100</v>
      </c>
      <c r="B73">
        <v>1500</v>
      </c>
      <c r="C73" t="s">
        <v>14</v>
      </c>
    </row>
    <row r="74" spans="1:3" x14ac:dyDescent="0.25">
      <c r="A74" s="9" t="s">
        <v>101</v>
      </c>
      <c r="B74">
        <v>2500</v>
      </c>
      <c r="C74" t="s">
        <v>14</v>
      </c>
    </row>
    <row r="75" spans="1:3" x14ac:dyDescent="0.25">
      <c r="A75" s="9" t="s">
        <v>102</v>
      </c>
      <c r="B75">
        <v>10000</v>
      </c>
      <c r="C75" t="s">
        <v>14</v>
      </c>
    </row>
    <row r="76" spans="1:3" x14ac:dyDescent="0.25">
      <c r="A76" s="9" t="s">
        <v>103</v>
      </c>
      <c r="B76">
        <v>19200</v>
      </c>
      <c r="C76" t="s">
        <v>14</v>
      </c>
    </row>
    <row r="77" spans="1:3" x14ac:dyDescent="0.25">
      <c r="A77" s="9" t="s">
        <v>104</v>
      </c>
      <c r="B77">
        <v>2000</v>
      </c>
      <c r="C77" t="s">
        <v>14</v>
      </c>
    </row>
    <row r="78" spans="1:3" x14ac:dyDescent="0.25">
      <c r="A78" s="9" t="s">
        <v>112</v>
      </c>
      <c r="B78">
        <v>1133</v>
      </c>
      <c r="C78" t="s">
        <v>14</v>
      </c>
    </row>
    <row r="79" spans="1:3" x14ac:dyDescent="0.25">
      <c r="A79" s="9" t="s">
        <v>105</v>
      </c>
      <c r="B79">
        <v>600</v>
      </c>
      <c r="C79" t="s">
        <v>14</v>
      </c>
    </row>
    <row r="80" spans="1:3" x14ac:dyDescent="0.25">
      <c r="A80" s="9" t="s">
        <v>106</v>
      </c>
      <c r="B80">
        <v>6500</v>
      </c>
      <c r="C80" t="s">
        <v>14</v>
      </c>
    </row>
    <row r="81" spans="1:3" x14ac:dyDescent="0.25">
      <c r="A81" s="9" t="s">
        <v>107</v>
      </c>
      <c r="B81">
        <v>2500</v>
      </c>
      <c r="C81" t="s">
        <v>14</v>
      </c>
    </row>
    <row r="82" spans="1:3" x14ac:dyDescent="0.25">
      <c r="A82" s="9" t="s">
        <v>108</v>
      </c>
      <c r="B82">
        <v>12000</v>
      </c>
      <c r="C82" t="s">
        <v>14</v>
      </c>
    </row>
    <row r="83" spans="1:3" x14ac:dyDescent="0.25">
      <c r="A83" s="9" t="s">
        <v>110</v>
      </c>
      <c r="B83">
        <v>11700</v>
      </c>
      <c r="C83" t="s">
        <v>14</v>
      </c>
    </row>
    <row r="84" spans="1:3" x14ac:dyDescent="0.25">
      <c r="A84" s="9" t="s">
        <v>111</v>
      </c>
      <c r="B84">
        <v>2500</v>
      </c>
      <c r="C84" t="s">
        <v>14</v>
      </c>
    </row>
    <row r="85" spans="1:3" x14ac:dyDescent="0.25">
      <c r="A85" s="9" t="s">
        <v>109</v>
      </c>
      <c r="B85">
        <v>10000</v>
      </c>
      <c r="C85" t="s">
        <v>14</v>
      </c>
    </row>
    <row r="86" spans="1:3" x14ac:dyDescent="0.25">
      <c r="A86" s="9" t="s">
        <v>99</v>
      </c>
      <c r="B86">
        <v>4500</v>
      </c>
      <c r="C86" t="s">
        <v>8</v>
      </c>
    </row>
    <row r="87" spans="1:3" x14ac:dyDescent="0.25">
      <c r="A87" s="9" t="s">
        <v>100</v>
      </c>
      <c r="B87">
        <v>1500</v>
      </c>
      <c r="C87" t="s">
        <v>8</v>
      </c>
    </row>
    <row r="88" spans="1:3" x14ac:dyDescent="0.25">
      <c r="A88" s="9" t="s">
        <v>101</v>
      </c>
      <c r="B88">
        <v>2500</v>
      </c>
      <c r="C88" t="s">
        <v>8</v>
      </c>
    </row>
    <row r="89" spans="1:3" x14ac:dyDescent="0.25">
      <c r="A89" s="9" t="s">
        <v>102</v>
      </c>
      <c r="B89">
        <v>10000</v>
      </c>
      <c r="C89" t="s">
        <v>8</v>
      </c>
    </row>
    <row r="90" spans="1:3" x14ac:dyDescent="0.25">
      <c r="A90" s="9" t="s">
        <v>103</v>
      </c>
      <c r="B90">
        <v>19200</v>
      </c>
      <c r="C90" t="s">
        <v>8</v>
      </c>
    </row>
    <row r="91" spans="1:3" x14ac:dyDescent="0.25">
      <c r="A91" s="9" t="s">
        <v>104</v>
      </c>
      <c r="B91">
        <v>2000</v>
      </c>
      <c r="C91" t="s">
        <v>8</v>
      </c>
    </row>
    <row r="92" spans="1:3" x14ac:dyDescent="0.25">
      <c r="A92" s="9" t="s">
        <v>112</v>
      </c>
      <c r="B92">
        <v>1133</v>
      </c>
      <c r="C92" t="s">
        <v>8</v>
      </c>
    </row>
    <row r="93" spans="1:3" x14ac:dyDescent="0.25">
      <c r="A93" s="9" t="s">
        <v>105</v>
      </c>
      <c r="B93">
        <v>600</v>
      </c>
      <c r="C93" t="s">
        <v>8</v>
      </c>
    </row>
    <row r="94" spans="1:3" x14ac:dyDescent="0.25">
      <c r="A94" s="9" t="s">
        <v>106</v>
      </c>
      <c r="B94">
        <v>6500</v>
      </c>
      <c r="C94" t="s">
        <v>8</v>
      </c>
    </row>
    <row r="95" spans="1:3" x14ac:dyDescent="0.25">
      <c r="A95" s="9" t="s">
        <v>107</v>
      </c>
      <c r="B95">
        <v>2500</v>
      </c>
      <c r="C95" t="s">
        <v>8</v>
      </c>
    </row>
    <row r="96" spans="1:3" x14ac:dyDescent="0.25">
      <c r="A96" s="9" t="s">
        <v>108</v>
      </c>
      <c r="B96">
        <v>12000</v>
      </c>
      <c r="C96" t="s">
        <v>8</v>
      </c>
    </row>
    <row r="97" spans="1:3" x14ac:dyDescent="0.25">
      <c r="A97" s="9" t="s">
        <v>110</v>
      </c>
      <c r="B97">
        <v>11700</v>
      </c>
      <c r="C97" t="s">
        <v>8</v>
      </c>
    </row>
    <row r="98" spans="1:3" x14ac:dyDescent="0.25">
      <c r="A98" s="9" t="s">
        <v>111</v>
      </c>
      <c r="B98">
        <v>2500</v>
      </c>
      <c r="C98" t="s">
        <v>8</v>
      </c>
    </row>
    <row r="99" spans="1:3" x14ac:dyDescent="0.25">
      <c r="A99" s="9" t="s">
        <v>109</v>
      </c>
      <c r="B99">
        <v>10000</v>
      </c>
      <c r="C99" t="s">
        <v>8</v>
      </c>
    </row>
    <row r="100" spans="1:3" x14ac:dyDescent="0.25">
      <c r="A100" s="9" t="s">
        <v>99</v>
      </c>
      <c r="B100">
        <v>4500</v>
      </c>
      <c r="C100" t="s">
        <v>0</v>
      </c>
    </row>
    <row r="101" spans="1:3" x14ac:dyDescent="0.25">
      <c r="A101" s="9" t="s">
        <v>100</v>
      </c>
      <c r="B101">
        <v>1500</v>
      </c>
      <c r="C101" t="s">
        <v>0</v>
      </c>
    </row>
    <row r="102" spans="1:3" x14ac:dyDescent="0.25">
      <c r="A102" s="9" t="s">
        <v>101</v>
      </c>
      <c r="B102">
        <v>2500</v>
      </c>
      <c r="C102" t="s">
        <v>0</v>
      </c>
    </row>
    <row r="103" spans="1:3" x14ac:dyDescent="0.25">
      <c r="A103" s="9" t="s">
        <v>102</v>
      </c>
      <c r="B103">
        <v>10000</v>
      </c>
      <c r="C103" t="s">
        <v>0</v>
      </c>
    </row>
    <row r="104" spans="1:3" x14ac:dyDescent="0.25">
      <c r="A104" s="9" t="s">
        <v>103</v>
      </c>
      <c r="B104">
        <v>19200</v>
      </c>
      <c r="C104" t="s">
        <v>0</v>
      </c>
    </row>
    <row r="105" spans="1:3" x14ac:dyDescent="0.25">
      <c r="A105" s="9" t="s">
        <v>104</v>
      </c>
      <c r="B105">
        <v>2000</v>
      </c>
      <c r="C105" t="s">
        <v>0</v>
      </c>
    </row>
    <row r="106" spans="1:3" x14ac:dyDescent="0.25">
      <c r="A106" s="9" t="s">
        <v>112</v>
      </c>
      <c r="B106">
        <v>1133</v>
      </c>
      <c r="C106" t="s">
        <v>0</v>
      </c>
    </row>
    <row r="107" spans="1:3" x14ac:dyDescent="0.25">
      <c r="A107" s="9" t="s">
        <v>105</v>
      </c>
      <c r="B107">
        <v>600</v>
      </c>
      <c r="C107" t="s">
        <v>0</v>
      </c>
    </row>
    <row r="108" spans="1:3" x14ac:dyDescent="0.25">
      <c r="A108" s="9" t="s">
        <v>106</v>
      </c>
      <c r="B108">
        <v>6500</v>
      </c>
      <c r="C108" t="s">
        <v>0</v>
      </c>
    </row>
    <row r="109" spans="1:3" x14ac:dyDescent="0.25">
      <c r="A109" s="9" t="s">
        <v>107</v>
      </c>
      <c r="B109">
        <v>2500</v>
      </c>
      <c r="C109" t="s">
        <v>0</v>
      </c>
    </row>
    <row r="110" spans="1:3" x14ac:dyDescent="0.25">
      <c r="A110" s="9" t="s">
        <v>108</v>
      </c>
      <c r="B110">
        <v>12000</v>
      </c>
      <c r="C110" t="s">
        <v>0</v>
      </c>
    </row>
    <row r="111" spans="1:3" x14ac:dyDescent="0.25">
      <c r="A111" s="9" t="s">
        <v>110</v>
      </c>
      <c r="B111">
        <v>11700</v>
      </c>
      <c r="C111" t="s">
        <v>0</v>
      </c>
    </row>
    <row r="112" spans="1:3" x14ac:dyDescent="0.25">
      <c r="A112" s="9" t="s">
        <v>111</v>
      </c>
      <c r="B112">
        <v>2500</v>
      </c>
      <c r="C112" t="s">
        <v>0</v>
      </c>
    </row>
    <row r="113" spans="1:3" x14ac:dyDescent="0.25">
      <c r="A113" s="9" t="s">
        <v>109</v>
      </c>
      <c r="B113">
        <v>10000</v>
      </c>
      <c r="C113" t="s">
        <v>0</v>
      </c>
    </row>
    <row r="114" spans="1:3" x14ac:dyDescent="0.25">
      <c r="A114" s="9" t="s">
        <v>99</v>
      </c>
      <c r="B114">
        <v>4500</v>
      </c>
      <c r="C114" t="s">
        <v>80</v>
      </c>
    </row>
    <row r="115" spans="1:3" x14ac:dyDescent="0.25">
      <c r="A115" s="9" t="s">
        <v>100</v>
      </c>
      <c r="B115">
        <v>1500</v>
      </c>
      <c r="C115" t="s">
        <v>80</v>
      </c>
    </row>
    <row r="116" spans="1:3" x14ac:dyDescent="0.25">
      <c r="A116" s="9" t="s">
        <v>101</v>
      </c>
      <c r="B116">
        <v>2500</v>
      </c>
      <c r="C116" t="s">
        <v>80</v>
      </c>
    </row>
    <row r="117" spans="1:3" x14ac:dyDescent="0.25">
      <c r="A117" s="9" t="s">
        <v>102</v>
      </c>
      <c r="B117">
        <v>10000</v>
      </c>
      <c r="C117" t="s">
        <v>80</v>
      </c>
    </row>
    <row r="118" spans="1:3" x14ac:dyDescent="0.25">
      <c r="A118" s="9" t="s">
        <v>103</v>
      </c>
      <c r="B118">
        <v>19200</v>
      </c>
      <c r="C118" t="s">
        <v>80</v>
      </c>
    </row>
    <row r="119" spans="1:3" x14ac:dyDescent="0.25">
      <c r="A119" s="9" t="s">
        <v>104</v>
      </c>
      <c r="B119">
        <v>2000</v>
      </c>
      <c r="C119" t="s">
        <v>80</v>
      </c>
    </row>
    <row r="120" spans="1:3" x14ac:dyDescent="0.25">
      <c r="A120" s="9" t="s">
        <v>112</v>
      </c>
      <c r="B120">
        <v>1133</v>
      </c>
      <c r="C120" t="s">
        <v>80</v>
      </c>
    </row>
    <row r="121" spans="1:3" x14ac:dyDescent="0.25">
      <c r="A121" s="9" t="s">
        <v>105</v>
      </c>
      <c r="B121">
        <v>600</v>
      </c>
      <c r="C121" t="s">
        <v>80</v>
      </c>
    </row>
    <row r="122" spans="1:3" x14ac:dyDescent="0.25">
      <c r="A122" s="9" t="s">
        <v>106</v>
      </c>
      <c r="B122">
        <v>6500</v>
      </c>
      <c r="C122" t="s">
        <v>80</v>
      </c>
    </row>
    <row r="123" spans="1:3" x14ac:dyDescent="0.25">
      <c r="A123" s="9" t="s">
        <v>107</v>
      </c>
      <c r="B123">
        <v>2500</v>
      </c>
      <c r="C123" t="s">
        <v>80</v>
      </c>
    </row>
    <row r="124" spans="1:3" x14ac:dyDescent="0.25">
      <c r="A124" s="9" t="s">
        <v>108</v>
      </c>
      <c r="B124">
        <v>12000</v>
      </c>
      <c r="C124" t="s">
        <v>80</v>
      </c>
    </row>
    <row r="125" spans="1:3" x14ac:dyDescent="0.25">
      <c r="A125" s="9" t="s">
        <v>110</v>
      </c>
      <c r="B125">
        <v>11700</v>
      </c>
      <c r="C125" t="s">
        <v>80</v>
      </c>
    </row>
    <row r="126" spans="1:3" x14ac:dyDescent="0.25">
      <c r="A126" s="9" t="s">
        <v>111</v>
      </c>
      <c r="B126">
        <v>2500</v>
      </c>
      <c r="C126" t="s">
        <v>80</v>
      </c>
    </row>
    <row r="127" spans="1:3" x14ac:dyDescent="0.25">
      <c r="A127" s="9" t="s">
        <v>109</v>
      </c>
      <c r="B127">
        <v>10000</v>
      </c>
      <c r="C127" t="s">
        <v>80</v>
      </c>
    </row>
    <row r="128" spans="1:3" x14ac:dyDescent="0.25">
      <c r="A128" s="9" t="s">
        <v>99</v>
      </c>
      <c r="B128">
        <v>4500</v>
      </c>
      <c r="C128" t="s">
        <v>81</v>
      </c>
    </row>
    <row r="129" spans="1:3" x14ac:dyDescent="0.25">
      <c r="A129" s="9" t="s">
        <v>100</v>
      </c>
      <c r="B129">
        <v>1500</v>
      </c>
      <c r="C129" t="s">
        <v>81</v>
      </c>
    </row>
    <row r="130" spans="1:3" x14ac:dyDescent="0.25">
      <c r="A130" s="9" t="s">
        <v>101</v>
      </c>
      <c r="B130">
        <v>2500</v>
      </c>
      <c r="C130" t="s">
        <v>81</v>
      </c>
    </row>
    <row r="131" spans="1:3" x14ac:dyDescent="0.25">
      <c r="A131" s="9" t="s">
        <v>102</v>
      </c>
      <c r="B131">
        <v>10000</v>
      </c>
      <c r="C131" t="s">
        <v>81</v>
      </c>
    </row>
    <row r="132" spans="1:3" x14ac:dyDescent="0.25">
      <c r="A132" s="10" t="s">
        <v>103</v>
      </c>
      <c r="B132" s="11">
        <v>22500</v>
      </c>
      <c r="C132" t="s">
        <v>81</v>
      </c>
    </row>
    <row r="133" spans="1:3" x14ac:dyDescent="0.25">
      <c r="A133" s="9" t="s">
        <v>104</v>
      </c>
      <c r="B133">
        <v>2000</v>
      </c>
      <c r="C133" t="s">
        <v>81</v>
      </c>
    </row>
    <row r="134" spans="1:3" x14ac:dyDescent="0.25">
      <c r="A134" s="9" t="s">
        <v>112</v>
      </c>
      <c r="B134">
        <v>1133</v>
      </c>
      <c r="C134" t="s">
        <v>81</v>
      </c>
    </row>
    <row r="135" spans="1:3" x14ac:dyDescent="0.25">
      <c r="A135" s="9" t="s">
        <v>105</v>
      </c>
      <c r="B135">
        <v>600</v>
      </c>
      <c r="C135" t="s">
        <v>81</v>
      </c>
    </row>
    <row r="136" spans="1:3" x14ac:dyDescent="0.25">
      <c r="A136" s="10" t="s">
        <v>106</v>
      </c>
      <c r="B136" s="11">
        <v>8000</v>
      </c>
      <c r="C136" t="s">
        <v>81</v>
      </c>
    </row>
    <row r="137" spans="1:3" x14ac:dyDescent="0.25">
      <c r="A137" s="9" t="s">
        <v>107</v>
      </c>
      <c r="B137">
        <v>2500</v>
      </c>
      <c r="C137" t="s">
        <v>81</v>
      </c>
    </row>
    <row r="138" spans="1:3" x14ac:dyDescent="0.25">
      <c r="A138" s="10" t="s">
        <v>108</v>
      </c>
      <c r="B138" s="11">
        <v>15000</v>
      </c>
      <c r="C138" t="s">
        <v>81</v>
      </c>
    </row>
    <row r="139" spans="1:3" x14ac:dyDescent="0.25">
      <c r="A139" s="9" t="s">
        <v>110</v>
      </c>
      <c r="B139">
        <v>11700</v>
      </c>
      <c r="C139" t="s">
        <v>81</v>
      </c>
    </row>
    <row r="140" spans="1:3" x14ac:dyDescent="0.25">
      <c r="A140" s="9" t="s">
        <v>111</v>
      </c>
      <c r="B140">
        <v>2500</v>
      </c>
      <c r="C140" t="s">
        <v>81</v>
      </c>
    </row>
    <row r="141" spans="1:3" x14ac:dyDescent="0.25">
      <c r="A141" s="9" t="s">
        <v>109</v>
      </c>
      <c r="B141">
        <v>10000</v>
      </c>
      <c r="C141" t="s">
        <v>81</v>
      </c>
    </row>
    <row r="142" spans="1:3" x14ac:dyDescent="0.25">
      <c r="A142" s="9" t="s">
        <v>99</v>
      </c>
      <c r="B142">
        <v>4500</v>
      </c>
      <c r="C142" t="s">
        <v>82</v>
      </c>
    </row>
    <row r="143" spans="1:3" x14ac:dyDescent="0.25">
      <c r="A143" s="9" t="s">
        <v>100</v>
      </c>
      <c r="B143">
        <v>1500</v>
      </c>
      <c r="C143" t="s">
        <v>82</v>
      </c>
    </row>
    <row r="144" spans="1:3" x14ac:dyDescent="0.25">
      <c r="A144" s="9" t="s">
        <v>101</v>
      </c>
      <c r="B144">
        <v>2500</v>
      </c>
      <c r="C144" t="s">
        <v>82</v>
      </c>
    </row>
    <row r="145" spans="1:3" x14ac:dyDescent="0.25">
      <c r="A145" s="9" t="s">
        <v>102</v>
      </c>
      <c r="B145">
        <v>10000</v>
      </c>
      <c r="C145" t="s">
        <v>82</v>
      </c>
    </row>
    <row r="146" spans="1:3" x14ac:dyDescent="0.25">
      <c r="A146" s="9" t="s">
        <v>103</v>
      </c>
      <c r="B146">
        <v>22500</v>
      </c>
      <c r="C146" t="s">
        <v>82</v>
      </c>
    </row>
    <row r="147" spans="1:3" x14ac:dyDescent="0.25">
      <c r="A147" s="9" t="s">
        <v>104</v>
      </c>
      <c r="B147">
        <v>2000</v>
      </c>
      <c r="C147" t="s">
        <v>82</v>
      </c>
    </row>
    <row r="148" spans="1:3" x14ac:dyDescent="0.25">
      <c r="A148" s="9" t="s">
        <v>112</v>
      </c>
      <c r="B148">
        <v>1133</v>
      </c>
      <c r="C148" t="s">
        <v>82</v>
      </c>
    </row>
    <row r="149" spans="1:3" x14ac:dyDescent="0.25">
      <c r="A149" s="9" t="s">
        <v>105</v>
      </c>
      <c r="B149">
        <v>600</v>
      </c>
      <c r="C149" t="s">
        <v>82</v>
      </c>
    </row>
    <row r="150" spans="1:3" x14ac:dyDescent="0.25">
      <c r="A150" s="9" t="s">
        <v>106</v>
      </c>
      <c r="B150">
        <v>8000</v>
      </c>
      <c r="C150" t="s">
        <v>82</v>
      </c>
    </row>
    <row r="151" spans="1:3" x14ac:dyDescent="0.25">
      <c r="A151" s="10" t="s">
        <v>107</v>
      </c>
      <c r="B151" s="11">
        <v>2700</v>
      </c>
      <c r="C151" t="s">
        <v>82</v>
      </c>
    </row>
    <row r="152" spans="1:3" x14ac:dyDescent="0.25">
      <c r="A152" s="9" t="s">
        <v>108</v>
      </c>
      <c r="B152">
        <v>15000</v>
      </c>
      <c r="C152" t="s">
        <v>82</v>
      </c>
    </row>
    <row r="153" spans="1:3" x14ac:dyDescent="0.25">
      <c r="A153" s="9" t="s">
        <v>110</v>
      </c>
      <c r="B153">
        <v>11700</v>
      </c>
      <c r="C153" t="s">
        <v>82</v>
      </c>
    </row>
    <row r="154" spans="1:3" x14ac:dyDescent="0.25">
      <c r="A154" s="9" t="s">
        <v>111</v>
      </c>
      <c r="B154">
        <v>2500</v>
      </c>
      <c r="C154" t="s">
        <v>82</v>
      </c>
    </row>
    <row r="155" spans="1:3" x14ac:dyDescent="0.25">
      <c r="A155" s="9" t="s">
        <v>109</v>
      </c>
      <c r="B155">
        <v>10000</v>
      </c>
      <c r="C155" t="s">
        <v>82</v>
      </c>
    </row>
    <row r="156" spans="1:3" x14ac:dyDescent="0.25">
      <c r="A156" s="9" t="s">
        <v>99</v>
      </c>
      <c r="B156">
        <v>4500</v>
      </c>
      <c r="C156" t="s">
        <v>83</v>
      </c>
    </row>
    <row r="157" spans="1:3" x14ac:dyDescent="0.25">
      <c r="A157" s="9" t="s">
        <v>100</v>
      </c>
      <c r="B157">
        <v>1500</v>
      </c>
      <c r="C157" t="s">
        <v>83</v>
      </c>
    </row>
    <row r="158" spans="1:3" x14ac:dyDescent="0.25">
      <c r="A158" s="9" t="s">
        <v>101</v>
      </c>
      <c r="B158">
        <v>2500</v>
      </c>
      <c r="C158" t="s">
        <v>83</v>
      </c>
    </row>
    <row r="159" spans="1:3" x14ac:dyDescent="0.25">
      <c r="A159" s="9" t="s">
        <v>102</v>
      </c>
      <c r="B159">
        <v>10000</v>
      </c>
      <c r="C159" t="s">
        <v>83</v>
      </c>
    </row>
    <row r="160" spans="1:3" x14ac:dyDescent="0.25">
      <c r="A160" s="9" t="s">
        <v>103</v>
      </c>
      <c r="B160">
        <v>22500</v>
      </c>
      <c r="C160" t="s">
        <v>83</v>
      </c>
    </row>
    <row r="161" spans="1:3" x14ac:dyDescent="0.25">
      <c r="A161" s="9" t="s">
        <v>104</v>
      </c>
      <c r="B161">
        <v>2000</v>
      </c>
      <c r="C161" t="s">
        <v>83</v>
      </c>
    </row>
    <row r="162" spans="1:3" x14ac:dyDescent="0.25">
      <c r="A162" s="9" t="s">
        <v>112</v>
      </c>
      <c r="B162">
        <v>1133</v>
      </c>
      <c r="C162" t="s">
        <v>83</v>
      </c>
    </row>
    <row r="163" spans="1:3" x14ac:dyDescent="0.25">
      <c r="A163" s="9" t="s">
        <v>105</v>
      </c>
      <c r="B163">
        <v>600</v>
      </c>
      <c r="C163" t="s">
        <v>83</v>
      </c>
    </row>
    <row r="164" spans="1:3" x14ac:dyDescent="0.25">
      <c r="A164" s="9" t="s">
        <v>106</v>
      </c>
      <c r="B164">
        <v>8000</v>
      </c>
      <c r="C164" t="s">
        <v>83</v>
      </c>
    </row>
    <row r="165" spans="1:3" x14ac:dyDescent="0.25">
      <c r="A165" s="9" t="s">
        <v>107</v>
      </c>
      <c r="B165">
        <v>2700</v>
      </c>
      <c r="C165" t="s">
        <v>83</v>
      </c>
    </row>
    <row r="166" spans="1:3" x14ac:dyDescent="0.25">
      <c r="A166" s="9" t="s">
        <v>108</v>
      </c>
      <c r="B166">
        <v>15000</v>
      </c>
      <c r="C166" t="s">
        <v>83</v>
      </c>
    </row>
    <row r="167" spans="1:3" x14ac:dyDescent="0.25">
      <c r="A167" s="9" t="s">
        <v>110</v>
      </c>
      <c r="B167">
        <v>11700</v>
      </c>
      <c r="C167" t="s">
        <v>83</v>
      </c>
    </row>
    <row r="168" spans="1:3" x14ac:dyDescent="0.25">
      <c r="A168" s="9" t="s">
        <v>111</v>
      </c>
      <c r="B168">
        <v>2500</v>
      </c>
      <c r="C168" t="s">
        <v>83</v>
      </c>
    </row>
    <row r="169" spans="1:3" x14ac:dyDescent="0.25">
      <c r="A169" s="9" t="s">
        <v>109</v>
      </c>
      <c r="B169">
        <v>10000</v>
      </c>
      <c r="C169" t="s">
        <v>83</v>
      </c>
    </row>
  </sheetData>
  <phoneticPr fontId="4" type="noConversion"/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9BE3D-4531-4EAB-80AA-960117505EA5}">
  <sheetPr>
    <tabColor rgb="FF3366FF"/>
  </sheetPr>
  <dimension ref="A1:E53"/>
  <sheetViews>
    <sheetView workbookViewId="0">
      <selection activeCell="A54" sqref="A54:XFD54"/>
    </sheetView>
  </sheetViews>
  <sheetFormatPr defaultRowHeight="15" x14ac:dyDescent="0.25"/>
  <cols>
    <col min="1" max="1" width="14.7109375" customWidth="1"/>
    <col min="2" max="2" width="39.7109375" bestFit="1" customWidth="1"/>
    <col min="3" max="3" width="10.85546875" bestFit="1" customWidth="1"/>
    <col min="4" max="4" width="29.7109375" bestFit="1" customWidth="1"/>
    <col min="5" max="5" width="11.5703125" customWidth="1"/>
  </cols>
  <sheetData>
    <row r="1" spans="1:5" x14ac:dyDescent="0.25">
      <c r="A1" s="1" t="s">
        <v>58</v>
      </c>
      <c r="B1" s="1" t="s">
        <v>57</v>
      </c>
      <c r="C1" s="1" t="s">
        <v>56</v>
      </c>
      <c r="D1" s="1" t="s">
        <v>55</v>
      </c>
      <c r="E1" s="1" t="s">
        <v>54</v>
      </c>
    </row>
    <row r="2" spans="1:5" x14ac:dyDescent="0.25">
      <c r="A2" s="2" t="s">
        <v>53</v>
      </c>
      <c r="B2" s="2" t="s">
        <v>98</v>
      </c>
      <c r="C2" s="3">
        <v>11757</v>
      </c>
      <c r="D2" s="2" t="s">
        <v>52</v>
      </c>
      <c r="E2" s="2" t="s">
        <v>46</v>
      </c>
    </row>
    <row r="3" spans="1:5" x14ac:dyDescent="0.25">
      <c r="A3" s="2" t="s">
        <v>51</v>
      </c>
      <c r="B3" s="2" t="s">
        <v>50</v>
      </c>
      <c r="C3" s="3">
        <v>18000</v>
      </c>
      <c r="D3" s="2" t="s">
        <v>1</v>
      </c>
      <c r="E3" s="2" t="s">
        <v>46</v>
      </c>
    </row>
    <row r="4" spans="1:5" x14ac:dyDescent="0.25">
      <c r="A4" s="2" t="s">
        <v>48</v>
      </c>
      <c r="B4" s="2" t="s">
        <v>49</v>
      </c>
      <c r="C4" s="3">
        <v>10500</v>
      </c>
      <c r="D4" s="2" t="s">
        <v>1</v>
      </c>
      <c r="E4" s="2" t="s">
        <v>46</v>
      </c>
    </row>
    <row r="5" spans="1:5" x14ac:dyDescent="0.25">
      <c r="A5" s="2" t="s">
        <v>48</v>
      </c>
      <c r="B5" s="2" t="s">
        <v>47</v>
      </c>
      <c r="C5" s="3">
        <v>28500</v>
      </c>
      <c r="D5" s="2" t="s">
        <v>1</v>
      </c>
      <c r="E5" s="2" t="s">
        <v>46</v>
      </c>
    </row>
    <row r="6" spans="1:5" x14ac:dyDescent="0.25">
      <c r="A6" s="15" t="s">
        <v>45</v>
      </c>
      <c r="B6" s="2" t="s">
        <v>853</v>
      </c>
      <c r="C6" s="3">
        <f>SUM(C2:C5)-SUMIF(Table6[Month],"January",Table6[Amount])</f>
        <v>17439.160000000003</v>
      </c>
      <c r="D6" s="2" t="s">
        <v>52</v>
      </c>
      <c r="E6" s="2" t="s">
        <v>39</v>
      </c>
    </row>
    <row r="7" spans="1:5" x14ac:dyDescent="0.25">
      <c r="A7" s="2" t="s">
        <v>45</v>
      </c>
      <c r="B7" s="2" t="s">
        <v>44</v>
      </c>
      <c r="C7" s="3">
        <v>18000</v>
      </c>
      <c r="D7" s="2" t="s">
        <v>1</v>
      </c>
      <c r="E7" s="2" t="s">
        <v>39</v>
      </c>
    </row>
    <row r="8" spans="1:5" x14ac:dyDescent="0.25">
      <c r="A8" s="2" t="s">
        <v>43</v>
      </c>
      <c r="B8" s="2" t="s">
        <v>42</v>
      </c>
      <c r="C8" s="3">
        <v>28500</v>
      </c>
      <c r="D8" s="2" t="s">
        <v>1</v>
      </c>
      <c r="E8" s="2" t="s">
        <v>39</v>
      </c>
    </row>
    <row r="9" spans="1:5" x14ac:dyDescent="0.25">
      <c r="A9" s="2" t="s">
        <v>41</v>
      </c>
      <c r="B9" s="2" t="s">
        <v>40</v>
      </c>
      <c r="C9" s="3">
        <v>10500</v>
      </c>
      <c r="D9" s="2" t="s">
        <v>1</v>
      </c>
      <c r="E9" s="2" t="s">
        <v>39</v>
      </c>
    </row>
    <row r="10" spans="1:5" x14ac:dyDescent="0.25">
      <c r="A10" s="2" t="s">
        <v>256</v>
      </c>
      <c r="B10" s="2" t="s">
        <v>854</v>
      </c>
      <c r="C10" s="3">
        <f>SUM(C6:C9)-SUMIF(Table6[Month],"February",Table6[Amount])</f>
        <v>11048.800000000003</v>
      </c>
      <c r="D10" s="2" t="s">
        <v>52</v>
      </c>
      <c r="E10" s="2" t="s">
        <v>32</v>
      </c>
    </row>
    <row r="11" spans="1:5" x14ac:dyDescent="0.25">
      <c r="A11" s="2" t="s">
        <v>38</v>
      </c>
      <c r="B11" s="2" t="s">
        <v>37</v>
      </c>
      <c r="C11" s="3">
        <v>18000</v>
      </c>
      <c r="D11" s="2" t="s">
        <v>1</v>
      </c>
      <c r="E11" s="2" t="s">
        <v>32</v>
      </c>
    </row>
    <row r="12" spans="1:5" x14ac:dyDescent="0.25">
      <c r="A12" s="2" t="s">
        <v>36</v>
      </c>
      <c r="B12" s="2" t="s">
        <v>35</v>
      </c>
      <c r="C12" s="3">
        <v>28500</v>
      </c>
      <c r="D12" s="2" t="s">
        <v>1</v>
      </c>
      <c r="E12" s="2" t="s">
        <v>32</v>
      </c>
    </row>
    <row r="13" spans="1:5" x14ac:dyDescent="0.25">
      <c r="A13" s="2" t="s">
        <v>34</v>
      </c>
      <c r="B13" s="2" t="s">
        <v>33</v>
      </c>
      <c r="C13" s="3">
        <v>10500</v>
      </c>
      <c r="D13" s="2" t="s">
        <v>1</v>
      </c>
      <c r="E13" s="2" t="s">
        <v>32</v>
      </c>
    </row>
    <row r="14" spans="1:5" x14ac:dyDescent="0.25">
      <c r="A14" s="2" t="s">
        <v>338</v>
      </c>
      <c r="B14" s="2" t="s">
        <v>855</v>
      </c>
      <c r="C14" s="3">
        <f>SUM(C10:C13)-SUMIF(Table6[Month],"March",Table6[Amount])</f>
        <v>19990.800000000003</v>
      </c>
      <c r="D14" s="2" t="s">
        <v>52</v>
      </c>
      <c r="E14" s="2" t="s">
        <v>26</v>
      </c>
    </row>
    <row r="15" spans="1:5" x14ac:dyDescent="0.25">
      <c r="A15" s="2" t="s">
        <v>31</v>
      </c>
      <c r="B15" s="2" t="s">
        <v>30</v>
      </c>
      <c r="C15" s="3">
        <v>18000</v>
      </c>
      <c r="D15" s="2" t="s">
        <v>1</v>
      </c>
      <c r="E15" s="2" t="s">
        <v>26</v>
      </c>
    </row>
    <row r="16" spans="1:5" x14ac:dyDescent="0.25">
      <c r="A16" s="2" t="s">
        <v>28</v>
      </c>
      <c r="B16" s="2" t="s">
        <v>29</v>
      </c>
      <c r="C16" s="3">
        <v>10500</v>
      </c>
      <c r="D16" s="2" t="s">
        <v>1</v>
      </c>
      <c r="E16" s="2" t="s">
        <v>26</v>
      </c>
    </row>
    <row r="17" spans="1:5" x14ac:dyDescent="0.25">
      <c r="A17" s="2" t="s">
        <v>28</v>
      </c>
      <c r="B17" s="2" t="s">
        <v>27</v>
      </c>
      <c r="C17" s="3">
        <v>28500</v>
      </c>
      <c r="D17" s="2" t="s">
        <v>1</v>
      </c>
      <c r="E17" s="2" t="s">
        <v>26</v>
      </c>
    </row>
    <row r="18" spans="1:5" x14ac:dyDescent="0.25">
      <c r="A18" s="2" t="s">
        <v>25</v>
      </c>
      <c r="B18" s="2" t="s">
        <v>856</v>
      </c>
      <c r="C18" s="18">
        <f>SUM(C14:C17)-SUMIF(Table6[Month],"April",Table6[Amount])</f>
        <v>13981.39</v>
      </c>
      <c r="D18" s="2" t="s">
        <v>52</v>
      </c>
      <c r="E18" s="2" t="s">
        <v>20</v>
      </c>
    </row>
    <row r="19" spans="1:5" x14ac:dyDescent="0.25">
      <c r="A19" s="2" t="s">
        <v>25</v>
      </c>
      <c r="B19" s="2" t="s">
        <v>24</v>
      </c>
      <c r="C19" s="3">
        <v>18000</v>
      </c>
      <c r="D19" s="2" t="s">
        <v>1</v>
      </c>
      <c r="E19" s="2" t="s">
        <v>20</v>
      </c>
    </row>
    <row r="20" spans="1:5" x14ac:dyDescent="0.25">
      <c r="A20" s="2" t="s">
        <v>22</v>
      </c>
      <c r="B20" s="2" t="s">
        <v>23</v>
      </c>
      <c r="C20" s="3">
        <v>10500</v>
      </c>
      <c r="D20" s="2" t="s">
        <v>1</v>
      </c>
      <c r="E20" s="2" t="s">
        <v>20</v>
      </c>
    </row>
    <row r="21" spans="1:5" x14ac:dyDescent="0.25">
      <c r="A21" s="2" t="s">
        <v>22</v>
      </c>
      <c r="B21" s="2" t="s">
        <v>21</v>
      </c>
      <c r="C21" s="3">
        <v>28500</v>
      </c>
      <c r="D21" s="2" t="s">
        <v>1</v>
      </c>
      <c r="E21" s="2" t="s">
        <v>20</v>
      </c>
    </row>
    <row r="22" spans="1:5" x14ac:dyDescent="0.25">
      <c r="A22" s="2" t="s">
        <v>865</v>
      </c>
      <c r="B22" s="2" t="s">
        <v>857</v>
      </c>
      <c r="C22" s="18">
        <f>SUM(C18:C21)-SUMIF(Table6[Month],"May",Table6[Amount])</f>
        <v>-4947.2100000000064</v>
      </c>
      <c r="D22" s="2" t="s">
        <v>52</v>
      </c>
      <c r="E22" s="2" t="s">
        <v>14</v>
      </c>
    </row>
    <row r="23" spans="1:5" x14ac:dyDescent="0.25">
      <c r="A23" s="2" t="s">
        <v>19</v>
      </c>
      <c r="B23" s="2" t="s">
        <v>18</v>
      </c>
      <c r="C23" s="3">
        <v>18000</v>
      </c>
      <c r="D23" s="2" t="s">
        <v>1</v>
      </c>
      <c r="E23" s="2" t="s">
        <v>14</v>
      </c>
    </row>
    <row r="24" spans="1:5" x14ac:dyDescent="0.25">
      <c r="A24" s="2" t="s">
        <v>16</v>
      </c>
      <c r="B24" s="2" t="s">
        <v>17</v>
      </c>
      <c r="C24" s="3">
        <v>28500</v>
      </c>
      <c r="D24" s="2" t="s">
        <v>1</v>
      </c>
      <c r="E24" s="2" t="s">
        <v>14</v>
      </c>
    </row>
    <row r="25" spans="1:5" x14ac:dyDescent="0.25">
      <c r="A25" s="2" t="s">
        <v>16</v>
      </c>
      <c r="B25" s="2" t="s">
        <v>15</v>
      </c>
      <c r="C25" s="3">
        <v>10500</v>
      </c>
      <c r="D25" s="2" t="s">
        <v>1</v>
      </c>
      <c r="E25" s="2" t="s">
        <v>14</v>
      </c>
    </row>
    <row r="26" spans="1:5" x14ac:dyDescent="0.25">
      <c r="A26" s="2" t="s">
        <v>13</v>
      </c>
      <c r="B26" s="2" t="s">
        <v>858</v>
      </c>
      <c r="C26" s="18">
        <f>SUM(C22:C25)-SUMIF(Table6[Month],"June",Table6[Amount])</f>
        <v>566.54999999999563</v>
      </c>
      <c r="D26" s="2" t="s">
        <v>52</v>
      </c>
      <c r="E26" s="2" t="s">
        <v>8</v>
      </c>
    </row>
    <row r="27" spans="1:5" x14ac:dyDescent="0.25">
      <c r="A27" s="2" t="s">
        <v>13</v>
      </c>
      <c r="B27" s="2" t="s">
        <v>12</v>
      </c>
      <c r="C27" s="3">
        <v>18000</v>
      </c>
      <c r="D27" s="2" t="s">
        <v>1</v>
      </c>
      <c r="E27" s="2" t="s">
        <v>8</v>
      </c>
    </row>
    <row r="28" spans="1:5" x14ac:dyDescent="0.25">
      <c r="A28" s="2" t="s">
        <v>10</v>
      </c>
      <c r="B28" s="2" t="s">
        <v>11</v>
      </c>
      <c r="C28" s="3">
        <v>10500</v>
      </c>
      <c r="D28" s="2" t="s">
        <v>1</v>
      </c>
      <c r="E28" s="2" t="s">
        <v>8</v>
      </c>
    </row>
    <row r="29" spans="1:5" x14ac:dyDescent="0.25">
      <c r="A29" s="2" t="s">
        <v>10</v>
      </c>
      <c r="B29" s="2" t="s">
        <v>9</v>
      </c>
      <c r="C29" s="3">
        <v>28500</v>
      </c>
      <c r="D29" s="2" t="s">
        <v>1</v>
      </c>
      <c r="E29" s="2" t="s">
        <v>8</v>
      </c>
    </row>
    <row r="30" spans="1:5" x14ac:dyDescent="0.25">
      <c r="A30" s="2" t="s">
        <v>7</v>
      </c>
      <c r="B30" s="2" t="s">
        <v>859</v>
      </c>
      <c r="C30" s="18">
        <f>SUM(C26:C29)-SUMIF(Table6[Month],"July",Table6[Amount])</f>
        <v>1467.2999999999956</v>
      </c>
      <c r="D30" s="2" t="s">
        <v>52</v>
      </c>
      <c r="E30" s="2" t="s">
        <v>0</v>
      </c>
    </row>
    <row r="31" spans="1:5" x14ac:dyDescent="0.25">
      <c r="A31" s="2" t="s">
        <v>7</v>
      </c>
      <c r="B31" s="2" t="s">
        <v>6</v>
      </c>
      <c r="C31" s="3">
        <v>18000</v>
      </c>
      <c r="D31" s="2" t="s">
        <v>1</v>
      </c>
      <c r="E31" s="2" t="s">
        <v>0</v>
      </c>
    </row>
    <row r="32" spans="1:5" x14ac:dyDescent="0.25">
      <c r="A32" s="2" t="s">
        <v>5</v>
      </c>
      <c r="B32" s="2" t="s">
        <v>4</v>
      </c>
      <c r="C32" s="3">
        <v>28500</v>
      </c>
      <c r="D32" s="2" t="s">
        <v>1</v>
      </c>
      <c r="E32" s="2" t="s">
        <v>0</v>
      </c>
    </row>
    <row r="33" spans="1:5" x14ac:dyDescent="0.25">
      <c r="A33" s="2" t="s">
        <v>3</v>
      </c>
      <c r="B33" s="2" t="s">
        <v>2</v>
      </c>
      <c r="C33" s="3">
        <v>10500</v>
      </c>
      <c r="D33" s="2" t="s">
        <v>1</v>
      </c>
      <c r="E33" s="2" t="s">
        <v>0</v>
      </c>
    </row>
    <row r="34" spans="1:5" x14ac:dyDescent="0.25">
      <c r="A34" s="2" t="s">
        <v>866</v>
      </c>
      <c r="B34" s="2" t="s">
        <v>860</v>
      </c>
      <c r="C34" s="18">
        <f>SUM(C30:C33)-SUMIF(Table6[Month],"August",Table6[Amount])</f>
        <v>11079.299999999996</v>
      </c>
      <c r="D34" s="2" t="s">
        <v>52</v>
      </c>
      <c r="E34" s="2" t="s">
        <v>80</v>
      </c>
    </row>
    <row r="35" spans="1:5" x14ac:dyDescent="0.25">
      <c r="A35" s="2" t="s">
        <v>59</v>
      </c>
      <c r="B35" s="2" t="s">
        <v>60</v>
      </c>
      <c r="C35" s="3">
        <v>18000</v>
      </c>
      <c r="D35" s="2" t="s">
        <v>1</v>
      </c>
      <c r="E35" s="2" t="s">
        <v>80</v>
      </c>
    </row>
    <row r="36" spans="1:5" x14ac:dyDescent="0.25">
      <c r="A36" s="2" t="s">
        <v>61</v>
      </c>
      <c r="B36" s="2" t="s">
        <v>62</v>
      </c>
      <c r="C36" s="3">
        <v>28500</v>
      </c>
      <c r="D36" s="2" t="s">
        <v>1</v>
      </c>
      <c r="E36" s="2" t="s">
        <v>80</v>
      </c>
    </row>
    <row r="37" spans="1:5" x14ac:dyDescent="0.25">
      <c r="A37" s="2" t="s">
        <v>63</v>
      </c>
      <c r="B37" s="2" t="s">
        <v>64</v>
      </c>
      <c r="C37" s="3">
        <v>10500</v>
      </c>
      <c r="D37" s="2" t="s">
        <v>1</v>
      </c>
      <c r="E37" s="2" t="s">
        <v>80</v>
      </c>
    </row>
    <row r="38" spans="1:5" x14ac:dyDescent="0.25">
      <c r="A38" s="2" t="s">
        <v>71</v>
      </c>
      <c r="B38" s="2" t="s">
        <v>861</v>
      </c>
      <c r="C38" s="18">
        <f>SUM(C34:C37)-SUMIF(Table6[Month],"September",Table6[Amount])</f>
        <v>30752.299999999988</v>
      </c>
      <c r="D38" s="2" t="s">
        <v>52</v>
      </c>
      <c r="E38" s="2" t="s">
        <v>81</v>
      </c>
    </row>
    <row r="39" spans="1:5" x14ac:dyDescent="0.25">
      <c r="A39" s="2" t="s">
        <v>71</v>
      </c>
      <c r="B39" s="2" t="s">
        <v>72</v>
      </c>
      <c r="C39" s="3">
        <v>15980</v>
      </c>
      <c r="D39" s="2" t="s">
        <v>1</v>
      </c>
      <c r="E39" s="2" t="s">
        <v>81</v>
      </c>
    </row>
    <row r="40" spans="1:5" x14ac:dyDescent="0.25">
      <c r="A40" s="2" t="s">
        <v>65</v>
      </c>
      <c r="B40" s="2" t="s">
        <v>66</v>
      </c>
      <c r="C40" s="3">
        <v>25300</v>
      </c>
      <c r="D40" s="2" t="s">
        <v>1</v>
      </c>
      <c r="E40" s="2" t="s">
        <v>81</v>
      </c>
    </row>
    <row r="41" spans="1:5" x14ac:dyDescent="0.25">
      <c r="A41" s="2" t="s">
        <v>67</v>
      </c>
      <c r="B41" s="2" t="s">
        <v>68</v>
      </c>
      <c r="C41" s="3">
        <v>9320</v>
      </c>
      <c r="D41" s="2" t="s">
        <v>1</v>
      </c>
      <c r="E41" s="2" t="s">
        <v>81</v>
      </c>
    </row>
    <row r="42" spans="1:5" x14ac:dyDescent="0.25">
      <c r="A42" s="2" t="s">
        <v>69</v>
      </c>
      <c r="B42" s="2" t="s">
        <v>70</v>
      </c>
      <c r="C42" s="3">
        <v>13500</v>
      </c>
      <c r="D42" s="2" t="s">
        <v>1</v>
      </c>
      <c r="E42" s="2" t="s">
        <v>81</v>
      </c>
    </row>
    <row r="43" spans="1:5" x14ac:dyDescent="0.25">
      <c r="A43" s="2" t="s">
        <v>775</v>
      </c>
      <c r="B43" s="2" t="s">
        <v>862</v>
      </c>
      <c r="C43" s="18">
        <f>SUM(C38:C42)-SUMIF(Table6[Month],"October",Table6[Amount])</f>
        <v>20881.299999999988</v>
      </c>
      <c r="D43" s="2" t="s">
        <v>52</v>
      </c>
      <c r="E43" s="2" t="s">
        <v>82</v>
      </c>
    </row>
    <row r="44" spans="1:5" x14ac:dyDescent="0.25">
      <c r="A44" s="2" t="s">
        <v>73</v>
      </c>
      <c r="B44" s="2" t="s">
        <v>74</v>
      </c>
      <c r="C44" s="3">
        <v>15980</v>
      </c>
      <c r="D44" s="2" t="s">
        <v>1</v>
      </c>
      <c r="E44" s="2" t="s">
        <v>82</v>
      </c>
    </row>
    <row r="45" spans="1:5" x14ac:dyDescent="0.25">
      <c r="A45" s="2" t="s">
        <v>75</v>
      </c>
      <c r="B45" s="2" t="s">
        <v>76</v>
      </c>
      <c r="C45" s="3">
        <v>9320</v>
      </c>
      <c r="D45" s="2" t="s">
        <v>1</v>
      </c>
      <c r="E45" s="2" t="s">
        <v>82</v>
      </c>
    </row>
    <row r="46" spans="1:5" x14ac:dyDescent="0.25">
      <c r="A46" s="2" t="s">
        <v>75</v>
      </c>
      <c r="B46" s="2" t="s">
        <v>77</v>
      </c>
      <c r="C46" s="3">
        <v>25300</v>
      </c>
      <c r="D46" s="2" t="s">
        <v>1</v>
      </c>
      <c r="E46" s="2" t="s">
        <v>82</v>
      </c>
    </row>
    <row r="47" spans="1:5" x14ac:dyDescent="0.25">
      <c r="A47" s="2" t="s">
        <v>78</v>
      </c>
      <c r="B47" s="2" t="s">
        <v>79</v>
      </c>
      <c r="C47" s="3">
        <v>13500</v>
      </c>
      <c r="D47" s="2" t="s">
        <v>1</v>
      </c>
      <c r="E47" s="2" t="s">
        <v>82</v>
      </c>
    </row>
    <row r="48" spans="1:5" x14ac:dyDescent="0.25">
      <c r="A48" s="2" t="s">
        <v>867</v>
      </c>
      <c r="B48" s="2" t="s">
        <v>863</v>
      </c>
      <c r="C48" s="18">
        <f>SUM(C43:C47)-SUMIF(Table6[Month],"November",Table6[Amount])</f>
        <v>21860.989999999991</v>
      </c>
      <c r="D48" s="2" t="s">
        <v>52</v>
      </c>
      <c r="E48" s="2" t="s">
        <v>83</v>
      </c>
    </row>
    <row r="49" spans="1:5" x14ac:dyDescent="0.25">
      <c r="A49" s="2" t="s">
        <v>84</v>
      </c>
      <c r="B49" s="2" t="s">
        <v>85</v>
      </c>
      <c r="C49" s="3">
        <v>15980</v>
      </c>
      <c r="D49" s="2" t="s">
        <v>1</v>
      </c>
      <c r="E49" s="2" t="s">
        <v>83</v>
      </c>
    </row>
    <row r="50" spans="1:5" x14ac:dyDescent="0.25">
      <c r="A50" s="2" t="s">
        <v>84</v>
      </c>
      <c r="B50" s="2" t="s">
        <v>86</v>
      </c>
      <c r="C50" s="3">
        <v>9320</v>
      </c>
      <c r="D50" s="2" t="s">
        <v>1</v>
      </c>
      <c r="E50" s="2" t="s">
        <v>83</v>
      </c>
    </row>
    <row r="51" spans="1:5" x14ac:dyDescent="0.25">
      <c r="A51" s="2" t="s">
        <v>87</v>
      </c>
      <c r="B51" s="2" t="s">
        <v>88</v>
      </c>
      <c r="C51" s="3">
        <v>25300</v>
      </c>
      <c r="D51" s="2" t="s">
        <v>1</v>
      </c>
      <c r="E51" s="2" t="s">
        <v>83</v>
      </c>
    </row>
    <row r="52" spans="1:5" x14ac:dyDescent="0.25">
      <c r="A52" s="2" t="s">
        <v>89</v>
      </c>
      <c r="B52" s="2" t="s">
        <v>90</v>
      </c>
      <c r="C52" s="3">
        <v>13500</v>
      </c>
      <c r="D52" s="2" t="s">
        <v>1</v>
      </c>
      <c r="E52" s="2" t="s">
        <v>83</v>
      </c>
    </row>
    <row r="53" spans="1:5" x14ac:dyDescent="0.25">
      <c r="A53" s="2" t="s">
        <v>874</v>
      </c>
      <c r="B53" s="2" t="s">
        <v>871</v>
      </c>
      <c r="C53" s="3">
        <f>SUM(C48:C52)-SUMIF(Table6[Month],"December",Table6[Amount])</f>
        <v>29922.989999999991</v>
      </c>
      <c r="D53" s="2" t="s">
        <v>52</v>
      </c>
      <c r="E53" s="2"/>
    </row>
  </sheetData>
  <phoneticPr fontId="4" type="noConversion"/>
  <pageMargins left="0.7" right="0.7" top="0.75" bottom="0.75" header="0.3" footer="0.3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D9993-73A1-40AB-9BF9-2D0F27B1C614}">
  <dimension ref="A1:H596"/>
  <sheetViews>
    <sheetView zoomScale="85" zoomScaleNormal="85" workbookViewId="0">
      <selection activeCell="H2" sqref="H2:I2"/>
    </sheetView>
  </sheetViews>
  <sheetFormatPr defaultRowHeight="15" x14ac:dyDescent="0.25"/>
  <cols>
    <col min="1" max="1" width="13" bestFit="1" customWidth="1"/>
    <col min="2" max="2" width="75.28515625" bestFit="1" customWidth="1"/>
    <col min="3" max="3" width="11.7109375" customWidth="1"/>
    <col min="4" max="4" width="39" bestFit="1" customWidth="1"/>
    <col min="5" max="5" width="10" customWidth="1"/>
    <col min="8" max="8" width="20.140625" bestFit="1" customWidth="1"/>
  </cols>
  <sheetData>
    <row r="1" spans="1:8" x14ac:dyDescent="0.25">
      <c r="A1" s="19" t="s">
        <v>114</v>
      </c>
      <c r="B1" s="19" t="s">
        <v>57</v>
      </c>
      <c r="C1" s="20" t="s">
        <v>56</v>
      </c>
      <c r="D1" s="19" t="s">
        <v>55</v>
      </c>
      <c r="E1" s="19" t="s">
        <v>54</v>
      </c>
    </row>
    <row r="2" spans="1:8" x14ac:dyDescent="0.25">
      <c r="A2" s="21" t="s">
        <v>53</v>
      </c>
      <c r="B2" s="22" t="s">
        <v>115</v>
      </c>
      <c r="C2" s="31">
        <v>3230</v>
      </c>
      <c r="D2" s="22" t="s">
        <v>99</v>
      </c>
      <c r="E2" s="22" t="s">
        <v>46</v>
      </c>
    </row>
    <row r="3" spans="1:8" x14ac:dyDescent="0.25">
      <c r="A3" s="21" t="s">
        <v>116</v>
      </c>
      <c r="B3" s="22" t="s">
        <v>111</v>
      </c>
      <c r="C3" s="31">
        <v>450</v>
      </c>
      <c r="D3" s="22" t="s">
        <v>111</v>
      </c>
      <c r="E3" s="22" t="s">
        <v>46</v>
      </c>
      <c r="H3" s="22"/>
    </row>
    <row r="4" spans="1:8" x14ac:dyDescent="0.25">
      <c r="A4" s="21" t="s">
        <v>51</v>
      </c>
      <c r="B4" s="22" t="s">
        <v>111</v>
      </c>
      <c r="C4" s="31">
        <v>306</v>
      </c>
      <c r="D4" s="22" t="s">
        <v>111</v>
      </c>
      <c r="E4" s="22" t="s">
        <v>46</v>
      </c>
    </row>
    <row r="5" spans="1:8" x14ac:dyDescent="0.25">
      <c r="A5" s="21" t="s">
        <v>48</v>
      </c>
      <c r="B5" s="22" t="s">
        <v>117</v>
      </c>
      <c r="C5" s="31">
        <v>180</v>
      </c>
      <c r="D5" s="22" t="s">
        <v>109</v>
      </c>
      <c r="E5" s="22" t="s">
        <v>46</v>
      </c>
    </row>
    <row r="6" spans="1:8" x14ac:dyDescent="0.25">
      <c r="A6" s="21" t="s">
        <v>48</v>
      </c>
      <c r="B6" s="22" t="s">
        <v>106</v>
      </c>
      <c r="C6" s="31">
        <v>1800</v>
      </c>
      <c r="D6" s="22" t="s">
        <v>106</v>
      </c>
      <c r="E6" s="22" t="s">
        <v>46</v>
      </c>
    </row>
    <row r="7" spans="1:8" x14ac:dyDescent="0.25">
      <c r="A7" s="21" t="s">
        <v>48</v>
      </c>
      <c r="B7" s="22" t="s">
        <v>118</v>
      </c>
      <c r="C7" s="31">
        <v>1418</v>
      </c>
      <c r="D7" s="22" t="s">
        <v>107</v>
      </c>
      <c r="E7" s="22" t="s">
        <v>46</v>
      </c>
    </row>
    <row r="8" spans="1:8" x14ac:dyDescent="0.25">
      <c r="A8" s="21" t="s">
        <v>48</v>
      </c>
      <c r="B8" s="22" t="s">
        <v>119</v>
      </c>
      <c r="C8" s="31">
        <v>140</v>
      </c>
      <c r="D8" s="22" t="s">
        <v>111</v>
      </c>
      <c r="E8" s="22" t="s">
        <v>46</v>
      </c>
    </row>
    <row r="9" spans="1:8" x14ac:dyDescent="0.25">
      <c r="A9" s="21" t="s">
        <v>120</v>
      </c>
      <c r="B9" s="22" t="s">
        <v>121</v>
      </c>
      <c r="C9" s="31">
        <v>19200</v>
      </c>
      <c r="D9" s="22" t="s">
        <v>103</v>
      </c>
      <c r="E9" s="22" t="s">
        <v>46</v>
      </c>
    </row>
    <row r="10" spans="1:8" x14ac:dyDescent="0.25">
      <c r="A10" s="21" t="s">
        <v>120</v>
      </c>
      <c r="B10" s="22" t="s">
        <v>122</v>
      </c>
      <c r="C10" s="31">
        <v>80</v>
      </c>
      <c r="D10" s="22" t="s">
        <v>109</v>
      </c>
      <c r="E10" s="22" t="s">
        <v>46</v>
      </c>
    </row>
    <row r="11" spans="1:8" x14ac:dyDescent="0.25">
      <c r="A11" s="24" t="s">
        <v>123</v>
      </c>
      <c r="B11" s="25" t="s">
        <v>124</v>
      </c>
      <c r="C11" s="26">
        <v>0</v>
      </c>
      <c r="D11" s="25" t="s">
        <v>124</v>
      </c>
      <c r="E11" s="25" t="s">
        <v>46</v>
      </c>
    </row>
    <row r="12" spans="1:8" x14ac:dyDescent="0.25">
      <c r="A12" s="24" t="s">
        <v>123</v>
      </c>
      <c r="B12" s="25" t="s">
        <v>105</v>
      </c>
      <c r="C12" s="26">
        <v>0</v>
      </c>
      <c r="D12" s="25" t="s">
        <v>105</v>
      </c>
      <c r="E12" s="25" t="s">
        <v>46</v>
      </c>
    </row>
    <row r="13" spans="1:8" x14ac:dyDescent="0.25">
      <c r="A13" s="21" t="s">
        <v>126</v>
      </c>
      <c r="B13" s="22" t="s">
        <v>127</v>
      </c>
      <c r="C13" s="31">
        <v>280</v>
      </c>
      <c r="D13" s="22" t="s">
        <v>111</v>
      </c>
      <c r="E13" s="22" t="s">
        <v>46</v>
      </c>
    </row>
    <row r="14" spans="1:8" x14ac:dyDescent="0.25">
      <c r="A14" s="21" t="s">
        <v>126</v>
      </c>
      <c r="B14" s="22" t="s">
        <v>128</v>
      </c>
      <c r="C14" s="31">
        <v>470</v>
      </c>
      <c r="D14" s="22" t="s">
        <v>109</v>
      </c>
      <c r="E14" s="22" t="s">
        <v>46</v>
      </c>
    </row>
    <row r="15" spans="1:8" x14ac:dyDescent="0.25">
      <c r="A15" s="21" t="s">
        <v>129</v>
      </c>
      <c r="B15" s="22" t="s">
        <v>130</v>
      </c>
      <c r="C15" s="31">
        <v>60</v>
      </c>
      <c r="D15" s="22" t="s">
        <v>109</v>
      </c>
      <c r="E15" s="22" t="s">
        <v>46</v>
      </c>
    </row>
    <row r="16" spans="1:8" x14ac:dyDescent="0.25">
      <c r="A16" s="21" t="s">
        <v>129</v>
      </c>
      <c r="B16" s="22" t="s">
        <v>131</v>
      </c>
      <c r="C16" s="31">
        <v>35</v>
      </c>
      <c r="D16" s="22" t="s">
        <v>102</v>
      </c>
      <c r="E16" s="22" t="s">
        <v>46</v>
      </c>
    </row>
    <row r="17" spans="1:5" x14ac:dyDescent="0.25">
      <c r="A17" s="21" t="s">
        <v>129</v>
      </c>
      <c r="B17" s="22" t="s">
        <v>132</v>
      </c>
      <c r="C17" s="31">
        <v>4000</v>
      </c>
      <c r="D17" s="22" t="s">
        <v>106</v>
      </c>
      <c r="E17" s="22" t="s">
        <v>46</v>
      </c>
    </row>
    <row r="18" spans="1:5" x14ac:dyDescent="0.25">
      <c r="A18" s="21" t="s">
        <v>133</v>
      </c>
      <c r="B18" s="22" t="s">
        <v>111</v>
      </c>
      <c r="C18" s="31">
        <v>220</v>
      </c>
      <c r="D18" s="22" t="s">
        <v>111</v>
      </c>
      <c r="E18" s="22" t="s">
        <v>46</v>
      </c>
    </row>
    <row r="19" spans="1:5" x14ac:dyDescent="0.25">
      <c r="A19" s="21" t="s">
        <v>133</v>
      </c>
      <c r="B19" s="22" t="s">
        <v>134</v>
      </c>
      <c r="C19" s="31">
        <v>70</v>
      </c>
      <c r="D19" s="22" t="s">
        <v>102</v>
      </c>
      <c r="E19" s="22" t="s">
        <v>46</v>
      </c>
    </row>
    <row r="20" spans="1:5" x14ac:dyDescent="0.25">
      <c r="A20" s="21" t="s">
        <v>133</v>
      </c>
      <c r="B20" s="22" t="s">
        <v>135</v>
      </c>
      <c r="C20" s="31">
        <v>95</v>
      </c>
      <c r="D20" s="22" t="s">
        <v>109</v>
      </c>
      <c r="E20" s="22" t="s">
        <v>46</v>
      </c>
    </row>
    <row r="21" spans="1:5" x14ac:dyDescent="0.25">
      <c r="A21" s="21" t="s">
        <v>136</v>
      </c>
      <c r="B21" s="22" t="s">
        <v>137</v>
      </c>
      <c r="C21" s="31">
        <v>260</v>
      </c>
      <c r="D21" s="22" t="s">
        <v>111</v>
      </c>
      <c r="E21" s="22" t="s">
        <v>46</v>
      </c>
    </row>
    <row r="22" spans="1:5" x14ac:dyDescent="0.25">
      <c r="A22" s="21" t="s">
        <v>138</v>
      </c>
      <c r="B22" s="22" t="s">
        <v>139</v>
      </c>
      <c r="C22" s="31">
        <v>151</v>
      </c>
      <c r="D22" s="22" t="s">
        <v>111</v>
      </c>
      <c r="E22" s="22" t="s">
        <v>46</v>
      </c>
    </row>
    <row r="23" spans="1:5" x14ac:dyDescent="0.25">
      <c r="A23" s="21" t="s">
        <v>138</v>
      </c>
      <c r="B23" s="22" t="s">
        <v>140</v>
      </c>
      <c r="C23" s="31">
        <v>670</v>
      </c>
      <c r="D23" s="22" t="s">
        <v>109</v>
      </c>
      <c r="E23" s="22" t="s">
        <v>46</v>
      </c>
    </row>
    <row r="24" spans="1:5" x14ac:dyDescent="0.25">
      <c r="A24" s="21" t="s">
        <v>138</v>
      </c>
      <c r="B24" s="22" t="s">
        <v>141</v>
      </c>
      <c r="C24" s="31">
        <v>20</v>
      </c>
      <c r="D24" s="22" t="s">
        <v>109</v>
      </c>
      <c r="E24" s="22" t="s">
        <v>46</v>
      </c>
    </row>
    <row r="25" spans="1:5" x14ac:dyDescent="0.25">
      <c r="A25" s="21" t="s">
        <v>138</v>
      </c>
      <c r="B25" s="22" t="s">
        <v>142</v>
      </c>
      <c r="C25" s="31">
        <v>4077.28</v>
      </c>
      <c r="D25" s="22" t="s">
        <v>102</v>
      </c>
      <c r="E25" s="22" t="s">
        <v>46</v>
      </c>
    </row>
    <row r="26" spans="1:5" x14ac:dyDescent="0.25">
      <c r="A26" s="21" t="s">
        <v>138</v>
      </c>
      <c r="B26" s="22" t="s">
        <v>143</v>
      </c>
      <c r="C26" s="31">
        <v>230</v>
      </c>
      <c r="D26" s="22" t="s">
        <v>102</v>
      </c>
      <c r="E26" s="22" t="s">
        <v>46</v>
      </c>
    </row>
    <row r="27" spans="1:5" x14ac:dyDescent="0.25">
      <c r="A27" s="21" t="s">
        <v>138</v>
      </c>
      <c r="B27" s="22" t="s">
        <v>144</v>
      </c>
      <c r="C27" s="31">
        <v>920</v>
      </c>
      <c r="D27" s="22" t="s">
        <v>109</v>
      </c>
      <c r="E27" s="22" t="s">
        <v>46</v>
      </c>
    </row>
    <row r="28" spans="1:5" x14ac:dyDescent="0.25">
      <c r="A28" s="21" t="s">
        <v>138</v>
      </c>
      <c r="B28" s="22" t="s">
        <v>145</v>
      </c>
      <c r="C28" s="23">
        <v>2600</v>
      </c>
      <c r="D28" s="22" t="s">
        <v>124</v>
      </c>
      <c r="E28" s="22" t="s">
        <v>46</v>
      </c>
    </row>
    <row r="29" spans="1:5" x14ac:dyDescent="0.25">
      <c r="A29" s="21" t="s">
        <v>138</v>
      </c>
      <c r="B29" s="22" t="s">
        <v>146</v>
      </c>
      <c r="C29" s="31">
        <v>274</v>
      </c>
      <c r="D29" s="22" t="s">
        <v>107</v>
      </c>
      <c r="E29" s="22" t="s">
        <v>46</v>
      </c>
    </row>
    <row r="30" spans="1:5" x14ac:dyDescent="0.25">
      <c r="A30" s="21" t="s">
        <v>138</v>
      </c>
      <c r="B30" s="22" t="s">
        <v>148</v>
      </c>
      <c r="C30" s="31">
        <v>1613.56</v>
      </c>
      <c r="D30" s="22" t="s">
        <v>109</v>
      </c>
      <c r="E30" s="22" t="s">
        <v>46</v>
      </c>
    </row>
    <row r="31" spans="1:5" x14ac:dyDescent="0.25">
      <c r="A31" s="21" t="s">
        <v>149</v>
      </c>
      <c r="B31" s="22" t="s">
        <v>150</v>
      </c>
      <c r="C31" s="31">
        <v>100</v>
      </c>
      <c r="D31" s="22" t="s">
        <v>111</v>
      </c>
      <c r="E31" s="22" t="s">
        <v>46</v>
      </c>
    </row>
    <row r="32" spans="1:5" x14ac:dyDescent="0.25">
      <c r="A32" s="21" t="s">
        <v>149</v>
      </c>
      <c r="B32" s="22" t="s">
        <v>151</v>
      </c>
      <c r="C32" s="31">
        <v>325</v>
      </c>
      <c r="D32" s="22" t="s">
        <v>101</v>
      </c>
      <c r="E32" s="22" t="s">
        <v>46</v>
      </c>
    </row>
    <row r="33" spans="1:5" x14ac:dyDescent="0.25">
      <c r="A33" s="21" t="s">
        <v>149</v>
      </c>
      <c r="B33" s="22" t="s">
        <v>152</v>
      </c>
      <c r="C33" s="31">
        <v>345</v>
      </c>
      <c r="D33" s="22" t="s">
        <v>109</v>
      </c>
      <c r="E33" s="22" t="s">
        <v>46</v>
      </c>
    </row>
    <row r="34" spans="1:5" x14ac:dyDescent="0.25">
      <c r="A34" s="21" t="s">
        <v>149</v>
      </c>
      <c r="B34" s="22" t="s">
        <v>153</v>
      </c>
      <c r="C34" s="31">
        <v>35</v>
      </c>
      <c r="D34" s="22" t="s">
        <v>107</v>
      </c>
      <c r="E34" s="22" t="s">
        <v>46</v>
      </c>
    </row>
    <row r="35" spans="1:5" x14ac:dyDescent="0.25">
      <c r="A35" s="21" t="s">
        <v>149</v>
      </c>
      <c r="B35" s="22" t="s">
        <v>154</v>
      </c>
      <c r="C35" s="31">
        <v>234</v>
      </c>
      <c r="D35" s="22" t="s">
        <v>109</v>
      </c>
      <c r="E35" s="22" t="s">
        <v>46</v>
      </c>
    </row>
    <row r="36" spans="1:5" x14ac:dyDescent="0.25">
      <c r="A36" s="21" t="s">
        <v>149</v>
      </c>
      <c r="B36" s="22" t="s">
        <v>155</v>
      </c>
      <c r="C36" s="31">
        <v>2000</v>
      </c>
      <c r="D36" s="22" t="s">
        <v>109</v>
      </c>
      <c r="E36" s="22" t="s">
        <v>46</v>
      </c>
    </row>
    <row r="37" spans="1:5" x14ac:dyDescent="0.25">
      <c r="A37" s="21" t="s">
        <v>156</v>
      </c>
      <c r="B37" s="22" t="s">
        <v>157</v>
      </c>
      <c r="C37" s="31">
        <v>150</v>
      </c>
      <c r="D37" s="22" t="s">
        <v>102</v>
      </c>
      <c r="E37" s="22" t="s">
        <v>46</v>
      </c>
    </row>
    <row r="38" spans="1:5" x14ac:dyDescent="0.25">
      <c r="A38" s="21" t="s">
        <v>156</v>
      </c>
      <c r="B38" s="22" t="s">
        <v>158</v>
      </c>
      <c r="C38" s="31">
        <v>796</v>
      </c>
      <c r="D38" s="22" t="s">
        <v>102</v>
      </c>
      <c r="E38" s="22" t="s">
        <v>46</v>
      </c>
    </row>
    <row r="39" spans="1:5" x14ac:dyDescent="0.25">
      <c r="A39" s="21" t="s">
        <v>156</v>
      </c>
      <c r="B39" s="22" t="s">
        <v>159</v>
      </c>
      <c r="C39" s="31">
        <v>45</v>
      </c>
      <c r="D39" s="22" t="s">
        <v>109</v>
      </c>
      <c r="E39" s="22" t="s">
        <v>46</v>
      </c>
    </row>
    <row r="40" spans="1:5" x14ac:dyDescent="0.25">
      <c r="A40" s="21" t="s">
        <v>156</v>
      </c>
      <c r="B40" s="22" t="s">
        <v>160</v>
      </c>
      <c r="C40" s="31">
        <v>105</v>
      </c>
      <c r="D40" s="22" t="s">
        <v>111</v>
      </c>
      <c r="E40" s="22" t="s">
        <v>46</v>
      </c>
    </row>
    <row r="41" spans="1:5" x14ac:dyDescent="0.25">
      <c r="A41" s="21" t="s">
        <v>156</v>
      </c>
      <c r="B41" s="22" t="s">
        <v>161</v>
      </c>
      <c r="C41" s="31">
        <v>42</v>
      </c>
      <c r="D41" s="22" t="s">
        <v>109</v>
      </c>
      <c r="E41" s="22" t="s">
        <v>46</v>
      </c>
    </row>
    <row r="42" spans="1:5" x14ac:dyDescent="0.25">
      <c r="A42" s="21" t="s">
        <v>162</v>
      </c>
      <c r="B42" s="22" t="s">
        <v>163</v>
      </c>
      <c r="C42" s="31">
        <v>755</v>
      </c>
      <c r="D42" s="22" t="s">
        <v>102</v>
      </c>
      <c r="E42" s="22" t="s">
        <v>46</v>
      </c>
    </row>
    <row r="43" spans="1:5" x14ac:dyDescent="0.25">
      <c r="A43" s="21" t="s">
        <v>162</v>
      </c>
      <c r="B43" s="22" t="s">
        <v>164</v>
      </c>
      <c r="C43" s="31">
        <v>298</v>
      </c>
      <c r="D43" s="22" t="s">
        <v>111</v>
      </c>
      <c r="E43" s="22" t="s">
        <v>46</v>
      </c>
    </row>
    <row r="44" spans="1:5" x14ac:dyDescent="0.25">
      <c r="A44" s="21" t="s">
        <v>165</v>
      </c>
      <c r="B44" s="22" t="s">
        <v>166</v>
      </c>
      <c r="C44" s="31">
        <v>296</v>
      </c>
      <c r="D44" s="22" t="s">
        <v>102</v>
      </c>
      <c r="E44" s="22" t="s">
        <v>46</v>
      </c>
    </row>
    <row r="45" spans="1:5" x14ac:dyDescent="0.25">
      <c r="A45" s="21" t="s">
        <v>165</v>
      </c>
      <c r="B45" s="22" t="s">
        <v>167</v>
      </c>
      <c r="C45" s="31">
        <v>185</v>
      </c>
      <c r="D45" s="22" t="s">
        <v>109</v>
      </c>
      <c r="E45" s="22" t="s">
        <v>46</v>
      </c>
    </row>
    <row r="46" spans="1:5" x14ac:dyDescent="0.25">
      <c r="A46" s="21" t="s">
        <v>165</v>
      </c>
      <c r="B46" s="22" t="s">
        <v>168</v>
      </c>
      <c r="C46" s="31">
        <v>100</v>
      </c>
      <c r="D46" s="22" t="s">
        <v>109</v>
      </c>
      <c r="E46" s="22" t="s">
        <v>46</v>
      </c>
    </row>
    <row r="47" spans="1:5" x14ac:dyDescent="0.25">
      <c r="A47" s="21" t="s">
        <v>169</v>
      </c>
      <c r="B47" s="22" t="s">
        <v>170</v>
      </c>
      <c r="C47" s="31">
        <v>148</v>
      </c>
      <c r="D47" s="22" t="s">
        <v>111</v>
      </c>
      <c r="E47" s="22" t="s">
        <v>46</v>
      </c>
    </row>
    <row r="48" spans="1:5" x14ac:dyDescent="0.25">
      <c r="A48" s="21" t="s">
        <v>169</v>
      </c>
      <c r="B48" s="22" t="s">
        <v>171</v>
      </c>
      <c r="C48" s="31">
        <v>649</v>
      </c>
      <c r="D48" s="22" t="s">
        <v>109</v>
      </c>
      <c r="E48" s="22" t="s">
        <v>46</v>
      </c>
    </row>
    <row r="49" spans="1:5" x14ac:dyDescent="0.25">
      <c r="A49" s="21" t="s">
        <v>172</v>
      </c>
      <c r="B49" s="22" t="s">
        <v>173</v>
      </c>
      <c r="C49" s="31">
        <v>20</v>
      </c>
      <c r="D49" s="22" t="s">
        <v>111</v>
      </c>
      <c r="E49" s="22" t="s">
        <v>46</v>
      </c>
    </row>
    <row r="50" spans="1:5" x14ac:dyDescent="0.25">
      <c r="A50" s="21" t="s">
        <v>172</v>
      </c>
      <c r="B50" s="22" t="s">
        <v>174</v>
      </c>
      <c r="C50" s="31">
        <v>111</v>
      </c>
      <c r="D50" s="22" t="s">
        <v>109</v>
      </c>
      <c r="E50" s="22" t="s">
        <v>46</v>
      </c>
    </row>
    <row r="51" spans="1:5" x14ac:dyDescent="0.25">
      <c r="A51" s="21" t="s">
        <v>172</v>
      </c>
      <c r="B51" s="22" t="s">
        <v>175</v>
      </c>
      <c r="C51" s="31">
        <v>450</v>
      </c>
      <c r="D51" s="22" t="s">
        <v>101</v>
      </c>
      <c r="E51" s="22" t="s">
        <v>46</v>
      </c>
    </row>
    <row r="52" spans="1:5" x14ac:dyDescent="0.25">
      <c r="A52" s="21" t="s">
        <v>172</v>
      </c>
      <c r="B52" s="22" t="s">
        <v>176</v>
      </c>
      <c r="C52" s="31">
        <v>70</v>
      </c>
      <c r="D52" s="22" t="s">
        <v>109</v>
      </c>
      <c r="E52" s="22" t="s">
        <v>46</v>
      </c>
    </row>
    <row r="53" spans="1:5" x14ac:dyDescent="0.25">
      <c r="A53" s="21" t="s">
        <v>172</v>
      </c>
      <c r="B53" s="22" t="s">
        <v>177</v>
      </c>
      <c r="C53" s="31">
        <v>190</v>
      </c>
      <c r="D53" s="22" t="s">
        <v>111</v>
      </c>
      <c r="E53" s="22" t="s">
        <v>46</v>
      </c>
    </row>
    <row r="54" spans="1:5" x14ac:dyDescent="0.25">
      <c r="A54" s="21" t="s">
        <v>178</v>
      </c>
      <c r="B54" s="22" t="s">
        <v>179</v>
      </c>
      <c r="C54" s="31">
        <v>669</v>
      </c>
      <c r="D54" s="22" t="s">
        <v>109</v>
      </c>
      <c r="E54" s="22" t="s">
        <v>46</v>
      </c>
    </row>
    <row r="55" spans="1:5" x14ac:dyDescent="0.25">
      <c r="A55" s="21" t="s">
        <v>96</v>
      </c>
      <c r="B55" s="22" t="s">
        <v>180</v>
      </c>
      <c r="C55" s="31">
        <v>200</v>
      </c>
      <c r="D55" s="22" t="s">
        <v>109</v>
      </c>
      <c r="E55" s="22" t="s">
        <v>46</v>
      </c>
    </row>
    <row r="56" spans="1:5" x14ac:dyDescent="0.25">
      <c r="A56" s="21" t="s">
        <v>96</v>
      </c>
      <c r="B56" s="22" t="s">
        <v>181</v>
      </c>
      <c r="C56" s="31">
        <v>150</v>
      </c>
      <c r="D56" s="22" t="s">
        <v>111</v>
      </c>
      <c r="E56" s="22" t="s">
        <v>46</v>
      </c>
    </row>
    <row r="57" spans="1:5" x14ac:dyDescent="0.25">
      <c r="A57" s="21" t="s">
        <v>45</v>
      </c>
      <c r="B57" s="22" t="s">
        <v>140</v>
      </c>
      <c r="C57" s="23">
        <v>265</v>
      </c>
      <c r="D57" s="22" t="s">
        <v>109</v>
      </c>
      <c r="E57" s="22" t="s">
        <v>39</v>
      </c>
    </row>
    <row r="58" spans="1:5" x14ac:dyDescent="0.25">
      <c r="A58" s="21" t="s">
        <v>45</v>
      </c>
      <c r="B58" s="22" t="s">
        <v>182</v>
      </c>
      <c r="C58" s="23">
        <v>1100</v>
      </c>
      <c r="D58" s="22" t="s">
        <v>111</v>
      </c>
      <c r="E58" s="22" t="s">
        <v>39</v>
      </c>
    </row>
    <row r="59" spans="1:5" x14ac:dyDescent="0.25">
      <c r="A59" s="21" t="s">
        <v>45</v>
      </c>
      <c r="B59" s="22" t="s">
        <v>183</v>
      </c>
      <c r="C59" s="23">
        <v>2680</v>
      </c>
      <c r="D59" s="22" t="s">
        <v>99</v>
      </c>
      <c r="E59" s="22" t="s">
        <v>39</v>
      </c>
    </row>
    <row r="60" spans="1:5" x14ac:dyDescent="0.25">
      <c r="A60" s="21" t="s">
        <v>184</v>
      </c>
      <c r="B60" s="22" t="s">
        <v>185</v>
      </c>
      <c r="C60" s="23">
        <v>1386</v>
      </c>
      <c r="D60" s="22" t="s">
        <v>109</v>
      </c>
      <c r="E60" s="22" t="s">
        <v>39</v>
      </c>
    </row>
    <row r="61" spans="1:5" x14ac:dyDescent="0.25">
      <c r="A61" s="21" t="s">
        <v>184</v>
      </c>
      <c r="B61" s="22" t="s">
        <v>186</v>
      </c>
      <c r="C61" s="23">
        <v>35</v>
      </c>
      <c r="D61" s="22" t="s">
        <v>107</v>
      </c>
      <c r="E61" s="22" t="s">
        <v>39</v>
      </c>
    </row>
    <row r="62" spans="1:5" x14ac:dyDescent="0.25">
      <c r="A62" s="21" t="s">
        <v>184</v>
      </c>
      <c r="B62" s="22" t="s">
        <v>187</v>
      </c>
      <c r="C62" s="23">
        <v>60</v>
      </c>
      <c r="D62" s="22" t="s">
        <v>109</v>
      </c>
      <c r="E62" s="22" t="s">
        <v>39</v>
      </c>
    </row>
    <row r="63" spans="1:5" x14ac:dyDescent="0.25">
      <c r="A63" s="21" t="s">
        <v>184</v>
      </c>
      <c r="B63" s="22" t="s">
        <v>188</v>
      </c>
      <c r="C63" s="23">
        <v>180</v>
      </c>
      <c r="D63" s="22" t="s">
        <v>105</v>
      </c>
      <c r="E63" s="22" t="s">
        <v>39</v>
      </c>
    </row>
    <row r="64" spans="1:5" x14ac:dyDescent="0.25">
      <c r="A64" s="21" t="s">
        <v>189</v>
      </c>
      <c r="B64" s="22" t="s">
        <v>131</v>
      </c>
      <c r="C64" s="23">
        <v>35</v>
      </c>
      <c r="D64" s="22" t="s">
        <v>102</v>
      </c>
      <c r="E64" s="22" t="s">
        <v>39</v>
      </c>
    </row>
    <row r="65" spans="1:5" x14ac:dyDescent="0.25">
      <c r="A65" s="21" t="s">
        <v>189</v>
      </c>
      <c r="B65" s="22" t="s">
        <v>111</v>
      </c>
      <c r="C65" s="23">
        <v>70</v>
      </c>
      <c r="D65" s="22" t="s">
        <v>111</v>
      </c>
      <c r="E65" s="22" t="s">
        <v>39</v>
      </c>
    </row>
    <row r="66" spans="1:5" x14ac:dyDescent="0.25">
      <c r="A66" s="21" t="s">
        <v>190</v>
      </c>
      <c r="B66" s="22" t="s">
        <v>191</v>
      </c>
      <c r="C66" s="23">
        <v>150</v>
      </c>
      <c r="D66" s="22" t="s">
        <v>102</v>
      </c>
      <c r="E66" s="22" t="s">
        <v>39</v>
      </c>
    </row>
    <row r="67" spans="1:5" x14ac:dyDescent="0.25">
      <c r="A67" s="21" t="s">
        <v>43</v>
      </c>
      <c r="B67" s="22" t="s">
        <v>192</v>
      </c>
      <c r="C67" s="23">
        <v>300</v>
      </c>
      <c r="D67" s="22" t="s">
        <v>111</v>
      </c>
      <c r="E67" s="22" t="s">
        <v>39</v>
      </c>
    </row>
    <row r="68" spans="1:5" x14ac:dyDescent="0.25">
      <c r="A68" s="21" t="s">
        <v>41</v>
      </c>
      <c r="B68" s="22" t="s">
        <v>193</v>
      </c>
      <c r="C68" s="23">
        <v>5800</v>
      </c>
      <c r="D68" s="22" t="s">
        <v>106</v>
      </c>
      <c r="E68" s="22" t="s">
        <v>39</v>
      </c>
    </row>
    <row r="69" spans="1:5" x14ac:dyDescent="0.25">
      <c r="A69" s="21" t="s">
        <v>41</v>
      </c>
      <c r="B69" s="22" t="s">
        <v>194</v>
      </c>
      <c r="C69" s="23">
        <v>2210</v>
      </c>
      <c r="D69" s="22" t="s">
        <v>107</v>
      </c>
      <c r="E69" s="22" t="s">
        <v>39</v>
      </c>
    </row>
    <row r="70" spans="1:5" x14ac:dyDescent="0.25">
      <c r="A70" s="21" t="s">
        <v>41</v>
      </c>
      <c r="B70" s="22" t="s">
        <v>195</v>
      </c>
      <c r="C70" s="23">
        <v>868</v>
      </c>
      <c r="D70" s="22" t="s">
        <v>107</v>
      </c>
      <c r="E70" s="22" t="s">
        <v>39</v>
      </c>
    </row>
    <row r="71" spans="1:5" x14ac:dyDescent="0.25">
      <c r="A71" s="21" t="s">
        <v>41</v>
      </c>
      <c r="B71" s="22" t="s">
        <v>196</v>
      </c>
      <c r="C71" s="23">
        <v>11700</v>
      </c>
      <c r="D71" s="22" t="s">
        <v>197</v>
      </c>
      <c r="E71" s="22" t="s">
        <v>39</v>
      </c>
    </row>
    <row r="72" spans="1:5" x14ac:dyDescent="0.25">
      <c r="A72" s="21" t="s">
        <v>198</v>
      </c>
      <c r="B72" s="22" t="s">
        <v>199</v>
      </c>
      <c r="C72" s="23">
        <v>240</v>
      </c>
      <c r="D72" s="22" t="s">
        <v>109</v>
      </c>
      <c r="E72" s="22" t="s">
        <v>39</v>
      </c>
    </row>
    <row r="73" spans="1:5" x14ac:dyDescent="0.25">
      <c r="A73" s="21" t="s">
        <v>200</v>
      </c>
      <c r="B73" s="22" t="s">
        <v>201</v>
      </c>
      <c r="C73" s="23">
        <v>200</v>
      </c>
      <c r="D73" s="22" t="s">
        <v>111</v>
      </c>
      <c r="E73" s="22" t="s">
        <v>39</v>
      </c>
    </row>
    <row r="74" spans="1:5" x14ac:dyDescent="0.25">
      <c r="A74" s="21" t="s">
        <v>200</v>
      </c>
      <c r="B74" s="22" t="s">
        <v>204</v>
      </c>
      <c r="C74" s="23">
        <v>100</v>
      </c>
      <c r="D74" s="22" t="s">
        <v>111</v>
      </c>
      <c r="E74" s="22" t="s">
        <v>39</v>
      </c>
    </row>
    <row r="75" spans="1:5" x14ac:dyDescent="0.25">
      <c r="A75" s="21" t="s">
        <v>205</v>
      </c>
      <c r="B75" s="22" t="s">
        <v>206</v>
      </c>
      <c r="C75" s="23">
        <v>19200</v>
      </c>
      <c r="D75" s="22" t="s">
        <v>103</v>
      </c>
      <c r="E75" s="22" t="s">
        <v>39</v>
      </c>
    </row>
    <row r="76" spans="1:5" x14ac:dyDescent="0.25">
      <c r="A76" s="21" t="s">
        <v>205</v>
      </c>
      <c r="B76" s="22" t="s">
        <v>207</v>
      </c>
      <c r="C76" s="23">
        <v>568</v>
      </c>
      <c r="D76" s="22" t="s">
        <v>102</v>
      </c>
      <c r="E76" s="22" t="s">
        <v>39</v>
      </c>
    </row>
    <row r="77" spans="1:5" x14ac:dyDescent="0.25">
      <c r="A77" s="21" t="s">
        <v>205</v>
      </c>
      <c r="B77" s="22" t="s">
        <v>208</v>
      </c>
      <c r="C77" s="23">
        <v>100</v>
      </c>
      <c r="D77" s="22" t="s">
        <v>111</v>
      </c>
      <c r="E77" s="22" t="s">
        <v>39</v>
      </c>
    </row>
    <row r="78" spans="1:5" x14ac:dyDescent="0.25">
      <c r="A78" s="21" t="s">
        <v>209</v>
      </c>
      <c r="B78" s="22" t="s">
        <v>211</v>
      </c>
      <c r="C78" s="23">
        <v>212</v>
      </c>
      <c r="D78" s="22" t="s">
        <v>102</v>
      </c>
      <c r="E78" s="22" t="s">
        <v>39</v>
      </c>
    </row>
    <row r="79" spans="1:5" x14ac:dyDescent="0.25">
      <c r="A79" s="21" t="s">
        <v>212</v>
      </c>
      <c r="B79" s="22" t="s">
        <v>213</v>
      </c>
      <c r="C79" s="23">
        <v>30</v>
      </c>
      <c r="D79" s="22" t="s">
        <v>111</v>
      </c>
      <c r="E79" s="22" t="s">
        <v>39</v>
      </c>
    </row>
    <row r="80" spans="1:5" x14ac:dyDescent="0.25">
      <c r="A80" s="21" t="s">
        <v>212</v>
      </c>
      <c r="B80" s="22" t="s">
        <v>214</v>
      </c>
      <c r="C80" s="23">
        <v>3955</v>
      </c>
      <c r="D80" s="22" t="s">
        <v>102</v>
      </c>
      <c r="E80" s="22" t="s">
        <v>39</v>
      </c>
    </row>
    <row r="81" spans="1:5" x14ac:dyDescent="0.25">
      <c r="A81" s="21" t="s">
        <v>212</v>
      </c>
      <c r="B81" s="22" t="s">
        <v>215</v>
      </c>
      <c r="C81" s="23">
        <v>60</v>
      </c>
      <c r="D81" s="22" t="s">
        <v>111</v>
      </c>
      <c r="E81" s="22" t="s">
        <v>39</v>
      </c>
    </row>
    <row r="82" spans="1:5" x14ac:dyDescent="0.25">
      <c r="A82" s="21" t="s">
        <v>212</v>
      </c>
      <c r="B82" s="22" t="s">
        <v>216</v>
      </c>
      <c r="C82" s="23">
        <v>110</v>
      </c>
      <c r="D82" s="22" t="s">
        <v>102</v>
      </c>
      <c r="E82" s="22" t="s">
        <v>39</v>
      </c>
    </row>
    <row r="83" spans="1:5" x14ac:dyDescent="0.25">
      <c r="A83" s="21" t="s">
        <v>212</v>
      </c>
      <c r="B83" s="22" t="s">
        <v>217</v>
      </c>
      <c r="C83" s="23">
        <v>63</v>
      </c>
      <c r="D83" s="22" t="s">
        <v>102</v>
      </c>
      <c r="E83" s="22" t="s">
        <v>39</v>
      </c>
    </row>
    <row r="84" spans="1:5" x14ac:dyDescent="0.25">
      <c r="A84" s="21" t="s">
        <v>212</v>
      </c>
      <c r="B84" s="22" t="s">
        <v>218</v>
      </c>
      <c r="C84" s="23">
        <v>80</v>
      </c>
      <c r="D84" s="22" t="s">
        <v>102</v>
      </c>
      <c r="E84" s="22" t="s">
        <v>39</v>
      </c>
    </row>
    <row r="85" spans="1:5" x14ac:dyDescent="0.25">
      <c r="A85" s="21" t="s">
        <v>212</v>
      </c>
      <c r="B85" s="22" t="s">
        <v>219</v>
      </c>
      <c r="C85" s="23">
        <v>250</v>
      </c>
      <c r="D85" s="22" t="s">
        <v>124</v>
      </c>
      <c r="E85" s="22" t="s">
        <v>39</v>
      </c>
    </row>
    <row r="86" spans="1:5" x14ac:dyDescent="0.25">
      <c r="A86" s="21" t="s">
        <v>220</v>
      </c>
      <c r="B86" s="22" t="s">
        <v>222</v>
      </c>
      <c r="C86" s="23">
        <v>84</v>
      </c>
      <c r="D86" s="22" t="s">
        <v>109</v>
      </c>
      <c r="E86" s="22" t="s">
        <v>39</v>
      </c>
    </row>
    <row r="87" spans="1:5" x14ac:dyDescent="0.25">
      <c r="A87" s="21" t="s">
        <v>223</v>
      </c>
      <c r="B87" s="22" t="s">
        <v>224</v>
      </c>
      <c r="C87" s="23">
        <v>160</v>
      </c>
      <c r="D87" s="22" t="s">
        <v>111</v>
      </c>
      <c r="E87" s="22" t="s">
        <v>39</v>
      </c>
    </row>
    <row r="88" spans="1:5" x14ac:dyDescent="0.25">
      <c r="A88" s="21" t="s">
        <v>225</v>
      </c>
      <c r="B88" s="22" t="s">
        <v>226</v>
      </c>
      <c r="C88" s="23">
        <v>50</v>
      </c>
      <c r="D88" s="22" t="s">
        <v>102</v>
      </c>
      <c r="E88" s="22" t="s">
        <v>39</v>
      </c>
    </row>
    <row r="89" spans="1:5" x14ac:dyDescent="0.25">
      <c r="A89" s="21" t="s">
        <v>227</v>
      </c>
      <c r="B89" s="22" t="s">
        <v>128</v>
      </c>
      <c r="C89" s="23">
        <v>85</v>
      </c>
      <c r="D89" s="22" t="s">
        <v>109</v>
      </c>
      <c r="E89" s="22" t="s">
        <v>39</v>
      </c>
    </row>
    <row r="90" spans="1:5" x14ac:dyDescent="0.25">
      <c r="A90" s="21" t="s">
        <v>227</v>
      </c>
      <c r="B90" s="22" t="s">
        <v>228</v>
      </c>
      <c r="C90" s="23">
        <v>160</v>
      </c>
      <c r="D90" s="22" t="s">
        <v>109</v>
      </c>
      <c r="E90" s="22" t="s">
        <v>39</v>
      </c>
    </row>
    <row r="91" spans="1:5" x14ac:dyDescent="0.25">
      <c r="A91" s="21" t="s">
        <v>229</v>
      </c>
      <c r="B91" s="22" t="s">
        <v>230</v>
      </c>
      <c r="C91" s="23">
        <v>275</v>
      </c>
      <c r="D91" s="22" t="s">
        <v>109</v>
      </c>
      <c r="E91" s="22" t="s">
        <v>39</v>
      </c>
    </row>
    <row r="92" spans="1:5" x14ac:dyDescent="0.25">
      <c r="A92" s="21" t="s">
        <v>229</v>
      </c>
      <c r="B92" s="22" t="s">
        <v>231</v>
      </c>
      <c r="C92" s="23">
        <v>324</v>
      </c>
      <c r="D92" s="22" t="s">
        <v>109</v>
      </c>
      <c r="E92" s="22" t="s">
        <v>39</v>
      </c>
    </row>
    <row r="93" spans="1:5" x14ac:dyDescent="0.25">
      <c r="A93" s="21" t="s">
        <v>229</v>
      </c>
      <c r="B93" s="22" t="s">
        <v>232</v>
      </c>
      <c r="C93" s="23">
        <v>333</v>
      </c>
      <c r="D93" s="22" t="s">
        <v>109</v>
      </c>
      <c r="E93" s="22" t="s">
        <v>39</v>
      </c>
    </row>
    <row r="94" spans="1:5" x14ac:dyDescent="0.25">
      <c r="A94" s="21" t="s">
        <v>233</v>
      </c>
      <c r="B94" s="22" t="s">
        <v>142</v>
      </c>
      <c r="C94" s="23">
        <v>4136.3599999999997</v>
      </c>
      <c r="D94" s="22" t="s">
        <v>102</v>
      </c>
      <c r="E94" s="22" t="s">
        <v>39</v>
      </c>
    </row>
    <row r="95" spans="1:5" x14ac:dyDescent="0.25">
      <c r="A95" s="21" t="s">
        <v>236</v>
      </c>
      <c r="B95" s="22" t="s">
        <v>237</v>
      </c>
      <c r="C95" s="23">
        <v>40</v>
      </c>
      <c r="D95" s="22" t="s">
        <v>109</v>
      </c>
      <c r="E95" s="22" t="s">
        <v>39</v>
      </c>
    </row>
    <row r="96" spans="1:5" x14ac:dyDescent="0.25">
      <c r="A96" s="21" t="s">
        <v>236</v>
      </c>
      <c r="B96" s="22" t="s">
        <v>238</v>
      </c>
      <c r="C96" s="23">
        <v>300</v>
      </c>
      <c r="D96" s="22" t="s">
        <v>109</v>
      </c>
      <c r="E96" s="22" t="s">
        <v>39</v>
      </c>
    </row>
    <row r="97" spans="1:5" x14ac:dyDescent="0.25">
      <c r="A97" s="21" t="s">
        <v>236</v>
      </c>
      <c r="B97" s="22" t="s">
        <v>239</v>
      </c>
      <c r="C97" s="23">
        <v>617</v>
      </c>
      <c r="D97" s="22" t="s">
        <v>102</v>
      </c>
      <c r="E97" s="22" t="s">
        <v>39</v>
      </c>
    </row>
    <row r="98" spans="1:5" x14ac:dyDescent="0.25">
      <c r="A98" s="21" t="s">
        <v>236</v>
      </c>
      <c r="B98" s="22" t="s">
        <v>240</v>
      </c>
      <c r="C98" s="23">
        <v>90</v>
      </c>
      <c r="D98" s="22" t="s">
        <v>109</v>
      </c>
      <c r="E98" s="22" t="s">
        <v>39</v>
      </c>
    </row>
    <row r="99" spans="1:5" x14ac:dyDescent="0.25">
      <c r="A99" s="21" t="s">
        <v>236</v>
      </c>
      <c r="B99" s="22" t="s">
        <v>241</v>
      </c>
      <c r="C99" s="23">
        <v>35</v>
      </c>
      <c r="D99" s="22" t="s">
        <v>111</v>
      </c>
      <c r="E99" s="22" t="s">
        <v>39</v>
      </c>
    </row>
    <row r="100" spans="1:5" x14ac:dyDescent="0.25">
      <c r="A100" s="21" t="s">
        <v>236</v>
      </c>
      <c r="B100" s="22" t="s">
        <v>242</v>
      </c>
      <c r="C100" s="23">
        <v>435</v>
      </c>
      <c r="D100" s="22" t="s">
        <v>111</v>
      </c>
      <c r="E100" s="22" t="s">
        <v>39</v>
      </c>
    </row>
    <row r="101" spans="1:5" x14ac:dyDescent="0.25">
      <c r="A101" s="21" t="s">
        <v>236</v>
      </c>
      <c r="B101" s="22" t="s">
        <v>243</v>
      </c>
      <c r="C101" s="23">
        <v>20</v>
      </c>
      <c r="D101" s="22" t="s">
        <v>109</v>
      </c>
      <c r="E101" s="22" t="s">
        <v>39</v>
      </c>
    </row>
    <row r="102" spans="1:5" x14ac:dyDescent="0.25">
      <c r="A102" s="21" t="s">
        <v>236</v>
      </c>
      <c r="B102" s="22" t="s">
        <v>215</v>
      </c>
      <c r="C102" s="23">
        <v>70</v>
      </c>
      <c r="D102" s="22" t="s">
        <v>111</v>
      </c>
      <c r="E102" s="22" t="s">
        <v>39</v>
      </c>
    </row>
    <row r="103" spans="1:5" x14ac:dyDescent="0.25">
      <c r="A103" s="21" t="s">
        <v>244</v>
      </c>
      <c r="B103" s="22" t="s">
        <v>245</v>
      </c>
      <c r="C103" s="23">
        <v>30</v>
      </c>
      <c r="D103" s="22" t="s">
        <v>111</v>
      </c>
      <c r="E103" s="22" t="s">
        <v>39</v>
      </c>
    </row>
    <row r="104" spans="1:5" x14ac:dyDescent="0.25">
      <c r="A104" s="21" t="s">
        <v>246</v>
      </c>
      <c r="B104" s="22" t="s">
        <v>237</v>
      </c>
      <c r="C104" s="23">
        <v>37</v>
      </c>
      <c r="D104" s="22" t="s">
        <v>109</v>
      </c>
      <c r="E104" s="22" t="s">
        <v>39</v>
      </c>
    </row>
    <row r="105" spans="1:5" x14ac:dyDescent="0.25">
      <c r="A105" s="21" t="s">
        <v>246</v>
      </c>
      <c r="B105" s="22" t="s">
        <v>247</v>
      </c>
      <c r="C105" s="23">
        <v>400</v>
      </c>
      <c r="D105" s="22" t="s">
        <v>109</v>
      </c>
      <c r="E105" s="22" t="s">
        <v>39</v>
      </c>
    </row>
    <row r="106" spans="1:5" x14ac:dyDescent="0.25">
      <c r="A106" s="21" t="s">
        <v>248</v>
      </c>
      <c r="B106" s="22" t="s">
        <v>249</v>
      </c>
      <c r="C106" s="23">
        <v>270</v>
      </c>
      <c r="D106" s="22" t="s">
        <v>102</v>
      </c>
      <c r="E106" s="22" t="s">
        <v>39</v>
      </c>
    </row>
    <row r="107" spans="1:5" x14ac:dyDescent="0.25">
      <c r="A107" s="21" t="s">
        <v>248</v>
      </c>
      <c r="B107" s="22" t="s">
        <v>195</v>
      </c>
      <c r="C107" s="23">
        <v>784</v>
      </c>
      <c r="D107" s="22" t="s">
        <v>107</v>
      </c>
      <c r="E107" s="22" t="s">
        <v>39</v>
      </c>
    </row>
    <row r="108" spans="1:5" x14ac:dyDescent="0.25">
      <c r="A108" s="21" t="s">
        <v>248</v>
      </c>
      <c r="B108" s="22" t="s">
        <v>250</v>
      </c>
      <c r="C108" s="23">
        <v>1048</v>
      </c>
      <c r="D108" s="22" t="s">
        <v>100</v>
      </c>
      <c r="E108" s="22" t="s">
        <v>39</v>
      </c>
    </row>
    <row r="109" spans="1:5" x14ac:dyDescent="0.25">
      <c r="A109" s="21" t="s">
        <v>251</v>
      </c>
      <c r="B109" s="22" t="s">
        <v>252</v>
      </c>
      <c r="C109" s="23">
        <v>340</v>
      </c>
      <c r="D109" s="22" t="s">
        <v>109</v>
      </c>
      <c r="E109" s="22" t="s">
        <v>39</v>
      </c>
    </row>
    <row r="110" spans="1:5" x14ac:dyDescent="0.25">
      <c r="A110" s="21" t="s">
        <v>251</v>
      </c>
      <c r="B110" s="22" t="s">
        <v>253</v>
      </c>
      <c r="C110" s="23">
        <v>950</v>
      </c>
      <c r="D110" s="22" t="s">
        <v>102</v>
      </c>
      <c r="E110" s="22" t="s">
        <v>39</v>
      </c>
    </row>
    <row r="111" spans="1:5" x14ac:dyDescent="0.25">
      <c r="A111" s="21" t="s">
        <v>251</v>
      </c>
      <c r="B111" s="22" t="s">
        <v>254</v>
      </c>
      <c r="C111" s="23">
        <v>100</v>
      </c>
      <c r="D111" s="22" t="s">
        <v>111</v>
      </c>
      <c r="E111" s="22" t="s">
        <v>39</v>
      </c>
    </row>
    <row r="112" spans="1:5" x14ac:dyDescent="0.25">
      <c r="A112" s="21" t="s">
        <v>251</v>
      </c>
      <c r="B112" s="22" t="s">
        <v>111</v>
      </c>
      <c r="C112" s="23">
        <v>130</v>
      </c>
      <c r="D112" s="22" t="s">
        <v>111</v>
      </c>
      <c r="E112" s="22" t="s">
        <v>39</v>
      </c>
    </row>
    <row r="113" spans="1:5" x14ac:dyDescent="0.25">
      <c r="A113" s="21" t="s">
        <v>97</v>
      </c>
      <c r="B113" s="22" t="s">
        <v>255</v>
      </c>
      <c r="C113" s="23">
        <v>80</v>
      </c>
      <c r="D113" s="22" t="s">
        <v>111</v>
      </c>
      <c r="E113" s="22" t="s">
        <v>39</v>
      </c>
    </row>
    <row r="114" spans="1:5" x14ac:dyDescent="0.25">
      <c r="A114" s="21" t="s">
        <v>256</v>
      </c>
      <c r="B114" s="22" t="s">
        <v>257</v>
      </c>
      <c r="C114" s="36">
        <v>3570</v>
      </c>
      <c r="D114" s="22" t="s">
        <v>99</v>
      </c>
      <c r="E114" s="22" t="s">
        <v>32</v>
      </c>
    </row>
    <row r="115" spans="1:5" x14ac:dyDescent="0.25">
      <c r="A115" s="21" t="s">
        <v>256</v>
      </c>
      <c r="B115" s="22" t="s">
        <v>258</v>
      </c>
      <c r="C115" s="36">
        <v>100</v>
      </c>
      <c r="D115" s="22" t="s">
        <v>109</v>
      </c>
      <c r="E115" s="22" t="s">
        <v>32</v>
      </c>
    </row>
    <row r="116" spans="1:5" x14ac:dyDescent="0.25">
      <c r="A116" s="21" t="s">
        <v>256</v>
      </c>
      <c r="B116" s="22" t="s">
        <v>245</v>
      </c>
      <c r="C116" s="36">
        <v>35</v>
      </c>
      <c r="D116" s="22" t="s">
        <v>111</v>
      </c>
      <c r="E116" s="22" t="s">
        <v>32</v>
      </c>
    </row>
    <row r="117" spans="1:5" x14ac:dyDescent="0.25">
      <c r="A117" s="21" t="s">
        <v>38</v>
      </c>
      <c r="B117" s="22" t="s">
        <v>259</v>
      </c>
      <c r="C117" s="36">
        <v>160</v>
      </c>
      <c r="D117" s="22" t="s">
        <v>109</v>
      </c>
      <c r="E117" s="22" t="s">
        <v>32</v>
      </c>
    </row>
    <row r="118" spans="1:5" x14ac:dyDescent="0.25">
      <c r="A118" s="21" t="s">
        <v>260</v>
      </c>
      <c r="B118" s="22" t="s">
        <v>128</v>
      </c>
      <c r="C118" s="36">
        <v>158</v>
      </c>
      <c r="D118" s="22" t="s">
        <v>109</v>
      </c>
      <c r="E118" s="22" t="s">
        <v>32</v>
      </c>
    </row>
    <row r="119" spans="1:5" x14ac:dyDescent="0.25">
      <c r="A119" s="21" t="s">
        <v>261</v>
      </c>
      <c r="B119" s="22" t="s">
        <v>160</v>
      </c>
      <c r="C119" s="36">
        <v>60</v>
      </c>
      <c r="D119" s="22" t="s">
        <v>111</v>
      </c>
      <c r="E119" s="22" t="s">
        <v>32</v>
      </c>
    </row>
    <row r="120" spans="1:5" x14ac:dyDescent="0.25">
      <c r="A120" s="21" t="s">
        <v>261</v>
      </c>
      <c r="B120" s="22" t="s">
        <v>160</v>
      </c>
      <c r="C120" s="36">
        <v>55</v>
      </c>
      <c r="D120" s="22" t="s">
        <v>111</v>
      </c>
      <c r="E120" s="22" t="s">
        <v>32</v>
      </c>
    </row>
    <row r="121" spans="1:5" x14ac:dyDescent="0.25">
      <c r="A121" s="21" t="s">
        <v>36</v>
      </c>
      <c r="B121" s="22" t="s">
        <v>262</v>
      </c>
      <c r="C121" s="36">
        <v>1994</v>
      </c>
      <c r="D121" s="22" t="s">
        <v>107</v>
      </c>
      <c r="E121" s="22" t="s">
        <v>32</v>
      </c>
    </row>
    <row r="122" spans="1:5" x14ac:dyDescent="0.25">
      <c r="A122" s="21" t="s">
        <v>36</v>
      </c>
      <c r="B122" s="22" t="s">
        <v>263</v>
      </c>
      <c r="C122" s="36">
        <v>19200</v>
      </c>
      <c r="D122" s="22" t="s">
        <v>103</v>
      </c>
      <c r="E122" s="22" t="s">
        <v>32</v>
      </c>
    </row>
    <row r="123" spans="1:5" x14ac:dyDescent="0.25">
      <c r="A123" s="21" t="s">
        <v>36</v>
      </c>
      <c r="B123" s="22" t="s">
        <v>264</v>
      </c>
      <c r="C123" s="36">
        <v>159</v>
      </c>
      <c r="D123" s="22" t="s">
        <v>102</v>
      </c>
      <c r="E123" s="22" t="s">
        <v>32</v>
      </c>
    </row>
    <row r="124" spans="1:5" x14ac:dyDescent="0.25">
      <c r="A124" s="21" t="s">
        <v>36</v>
      </c>
      <c r="B124" s="22" t="s">
        <v>265</v>
      </c>
      <c r="C124" s="36">
        <v>55</v>
      </c>
      <c r="D124" s="22" t="s">
        <v>102</v>
      </c>
      <c r="E124" s="22" t="s">
        <v>32</v>
      </c>
    </row>
    <row r="125" spans="1:5" x14ac:dyDescent="0.25">
      <c r="A125" s="21" t="s">
        <v>36</v>
      </c>
      <c r="B125" s="22" t="s">
        <v>266</v>
      </c>
      <c r="C125" s="36">
        <v>96</v>
      </c>
      <c r="D125" s="22" t="s">
        <v>109</v>
      </c>
      <c r="E125" s="22" t="s">
        <v>32</v>
      </c>
    </row>
    <row r="126" spans="1:5" x14ac:dyDescent="0.25">
      <c r="A126" s="21" t="s">
        <v>36</v>
      </c>
      <c r="B126" s="22" t="s">
        <v>267</v>
      </c>
      <c r="C126" s="36">
        <v>70</v>
      </c>
      <c r="D126" s="22" t="s">
        <v>111</v>
      </c>
      <c r="E126" s="22" t="s">
        <v>32</v>
      </c>
    </row>
    <row r="127" spans="1:5" x14ac:dyDescent="0.25">
      <c r="A127" s="21" t="s">
        <v>34</v>
      </c>
      <c r="B127" s="22" t="s">
        <v>268</v>
      </c>
      <c r="C127" s="36">
        <v>100</v>
      </c>
      <c r="D127" s="22" t="s">
        <v>102</v>
      </c>
      <c r="E127" s="22" t="s">
        <v>32</v>
      </c>
    </row>
    <row r="128" spans="1:5" x14ac:dyDescent="0.25">
      <c r="A128" s="21" t="s">
        <v>34</v>
      </c>
      <c r="B128" s="22" t="s">
        <v>269</v>
      </c>
      <c r="C128" s="36">
        <v>100</v>
      </c>
      <c r="D128" s="22" t="s">
        <v>111</v>
      </c>
      <c r="E128" s="22" t="s">
        <v>32</v>
      </c>
    </row>
    <row r="129" spans="1:5" x14ac:dyDescent="0.25">
      <c r="A129" s="21" t="s">
        <v>34</v>
      </c>
      <c r="B129" s="22" t="s">
        <v>270</v>
      </c>
      <c r="C129" s="36">
        <v>6300</v>
      </c>
      <c r="D129" s="22" t="s">
        <v>106</v>
      </c>
      <c r="E129" s="22" t="s">
        <v>32</v>
      </c>
    </row>
    <row r="130" spans="1:5" x14ac:dyDescent="0.25">
      <c r="A130" s="21" t="s">
        <v>271</v>
      </c>
      <c r="B130" s="22" t="s">
        <v>272</v>
      </c>
      <c r="C130" s="36">
        <v>1298</v>
      </c>
      <c r="D130" s="22" t="s">
        <v>109</v>
      </c>
      <c r="E130" s="22" t="s">
        <v>32</v>
      </c>
    </row>
    <row r="131" spans="1:5" x14ac:dyDescent="0.25">
      <c r="A131" s="21" t="s">
        <v>271</v>
      </c>
      <c r="B131" s="22" t="s">
        <v>273</v>
      </c>
      <c r="C131" s="36">
        <v>50</v>
      </c>
      <c r="D131" s="22" t="s">
        <v>111</v>
      </c>
      <c r="E131" s="22" t="s">
        <v>32</v>
      </c>
    </row>
    <row r="132" spans="1:5" x14ac:dyDescent="0.25">
      <c r="A132" s="21" t="s">
        <v>274</v>
      </c>
      <c r="B132" s="22" t="s">
        <v>275</v>
      </c>
      <c r="C132" s="36">
        <v>422</v>
      </c>
      <c r="D132" s="22" t="s">
        <v>109</v>
      </c>
      <c r="E132" s="22" t="s">
        <v>32</v>
      </c>
    </row>
    <row r="133" spans="1:5" x14ac:dyDescent="0.25">
      <c r="A133" s="21" t="s">
        <v>276</v>
      </c>
      <c r="B133" s="22" t="s">
        <v>277</v>
      </c>
      <c r="C133" s="36">
        <v>320</v>
      </c>
      <c r="D133" s="22" t="s">
        <v>111</v>
      </c>
      <c r="E133" s="22" t="s">
        <v>32</v>
      </c>
    </row>
    <row r="134" spans="1:5" x14ac:dyDescent="0.25">
      <c r="A134" s="21" t="s">
        <v>276</v>
      </c>
      <c r="B134" s="22" t="s">
        <v>249</v>
      </c>
      <c r="C134" s="36">
        <v>522</v>
      </c>
      <c r="D134" s="22" t="s">
        <v>102</v>
      </c>
      <c r="E134" s="22" t="s">
        <v>32</v>
      </c>
    </row>
    <row r="135" spans="1:5" x14ac:dyDescent="0.25">
      <c r="A135" s="21" t="s">
        <v>276</v>
      </c>
      <c r="B135" s="22" t="s">
        <v>259</v>
      </c>
      <c r="C135" s="36">
        <v>245</v>
      </c>
      <c r="D135" s="22" t="s">
        <v>109</v>
      </c>
      <c r="E135" s="22" t="s">
        <v>32</v>
      </c>
    </row>
    <row r="136" spans="1:5" x14ac:dyDescent="0.25">
      <c r="A136" s="21" t="s">
        <v>278</v>
      </c>
      <c r="B136" s="22" t="s">
        <v>128</v>
      </c>
      <c r="C136" s="36">
        <v>158</v>
      </c>
      <c r="D136" s="22" t="s">
        <v>109</v>
      </c>
      <c r="E136" s="22" t="s">
        <v>32</v>
      </c>
    </row>
    <row r="137" spans="1:5" x14ac:dyDescent="0.25">
      <c r="A137" s="21" t="s">
        <v>279</v>
      </c>
      <c r="B137" s="22" t="s">
        <v>868</v>
      </c>
      <c r="C137" s="36">
        <v>20</v>
      </c>
      <c r="D137" s="22" t="s">
        <v>109</v>
      </c>
      <c r="E137" s="22" t="s">
        <v>32</v>
      </c>
    </row>
    <row r="138" spans="1:5" x14ac:dyDescent="0.25">
      <c r="A138" s="21" t="s">
        <v>279</v>
      </c>
      <c r="B138" s="22" t="s">
        <v>284</v>
      </c>
      <c r="C138" s="36">
        <v>110</v>
      </c>
      <c r="D138" s="22" t="s">
        <v>105</v>
      </c>
      <c r="E138" s="22" t="s">
        <v>32</v>
      </c>
    </row>
    <row r="139" spans="1:5" x14ac:dyDescent="0.25">
      <c r="A139" s="21" t="s">
        <v>308</v>
      </c>
      <c r="B139" s="22" t="s">
        <v>177</v>
      </c>
      <c r="C139" s="36">
        <v>215</v>
      </c>
      <c r="D139" s="22" t="s">
        <v>111</v>
      </c>
      <c r="E139" s="22" t="s">
        <v>32</v>
      </c>
    </row>
    <row r="140" spans="1:5" x14ac:dyDescent="0.25">
      <c r="A140" s="21" t="s">
        <v>308</v>
      </c>
      <c r="B140" s="22" t="s">
        <v>237</v>
      </c>
      <c r="C140" s="36">
        <v>35</v>
      </c>
      <c r="D140" s="22" t="s">
        <v>109</v>
      </c>
      <c r="E140" s="22" t="s">
        <v>32</v>
      </c>
    </row>
    <row r="141" spans="1:5" x14ac:dyDescent="0.25">
      <c r="A141" s="21" t="s">
        <v>310</v>
      </c>
      <c r="B141" s="22" t="s">
        <v>267</v>
      </c>
      <c r="C141" s="36">
        <v>70</v>
      </c>
      <c r="D141" s="22" t="s">
        <v>111</v>
      </c>
      <c r="E141" s="22" t="s">
        <v>32</v>
      </c>
    </row>
    <row r="142" spans="1:5" x14ac:dyDescent="0.25">
      <c r="A142" s="21" t="s">
        <v>311</v>
      </c>
      <c r="B142" s="22" t="s">
        <v>312</v>
      </c>
      <c r="C142" s="36">
        <v>85</v>
      </c>
      <c r="D142" s="22" t="s">
        <v>102</v>
      </c>
      <c r="E142" s="22" t="s">
        <v>32</v>
      </c>
    </row>
    <row r="143" spans="1:5" x14ac:dyDescent="0.25">
      <c r="A143" s="21" t="s">
        <v>311</v>
      </c>
      <c r="B143" s="22" t="s">
        <v>245</v>
      </c>
      <c r="C143" s="36">
        <v>35</v>
      </c>
      <c r="D143" s="22" t="s">
        <v>111</v>
      </c>
      <c r="E143" s="22" t="s">
        <v>32</v>
      </c>
    </row>
    <row r="144" spans="1:5" x14ac:dyDescent="0.25">
      <c r="A144" s="21" t="s">
        <v>313</v>
      </c>
      <c r="B144" s="22" t="s">
        <v>314</v>
      </c>
      <c r="C144" s="36">
        <v>250</v>
      </c>
      <c r="D144" s="22" t="s">
        <v>109</v>
      </c>
      <c r="E144" s="22" t="s">
        <v>32</v>
      </c>
    </row>
    <row r="145" spans="1:5" x14ac:dyDescent="0.25">
      <c r="A145" s="21" t="s">
        <v>315</v>
      </c>
      <c r="B145" s="22" t="s">
        <v>316</v>
      </c>
      <c r="C145" s="36">
        <v>215</v>
      </c>
      <c r="D145" s="22" t="s">
        <v>102</v>
      </c>
      <c r="E145" s="22" t="s">
        <v>32</v>
      </c>
    </row>
    <row r="146" spans="1:5" x14ac:dyDescent="0.25">
      <c r="A146" s="21" t="s">
        <v>317</v>
      </c>
      <c r="B146" s="22" t="s">
        <v>318</v>
      </c>
      <c r="C146" s="36">
        <v>548</v>
      </c>
      <c r="D146" s="22" t="s">
        <v>102</v>
      </c>
      <c r="E146" s="22" t="s">
        <v>32</v>
      </c>
    </row>
    <row r="147" spans="1:5" x14ac:dyDescent="0.25">
      <c r="A147" s="21" t="s">
        <v>317</v>
      </c>
      <c r="B147" s="22" t="s">
        <v>192</v>
      </c>
      <c r="C147" s="36">
        <v>212</v>
      </c>
      <c r="D147" s="22" t="s">
        <v>111</v>
      </c>
      <c r="E147" s="22" t="s">
        <v>32</v>
      </c>
    </row>
    <row r="148" spans="1:5" x14ac:dyDescent="0.25">
      <c r="A148" s="21" t="s">
        <v>317</v>
      </c>
      <c r="B148" s="22" t="s">
        <v>319</v>
      </c>
      <c r="C148" s="36">
        <v>170</v>
      </c>
      <c r="D148" s="22" t="s">
        <v>111</v>
      </c>
      <c r="E148" s="22" t="s">
        <v>32</v>
      </c>
    </row>
    <row r="149" spans="1:5" x14ac:dyDescent="0.25">
      <c r="A149" s="21" t="s">
        <v>320</v>
      </c>
      <c r="B149" s="22" t="s">
        <v>245</v>
      </c>
      <c r="C149" s="36">
        <v>35</v>
      </c>
      <c r="D149" s="22" t="s">
        <v>111</v>
      </c>
      <c r="E149" s="22" t="s">
        <v>32</v>
      </c>
    </row>
    <row r="150" spans="1:5" x14ac:dyDescent="0.25">
      <c r="A150" s="21" t="s">
        <v>320</v>
      </c>
      <c r="B150" s="22" t="s">
        <v>321</v>
      </c>
      <c r="C150" s="36">
        <v>28</v>
      </c>
      <c r="D150" s="22" t="s">
        <v>109</v>
      </c>
      <c r="E150" s="22" t="s">
        <v>32</v>
      </c>
    </row>
    <row r="151" spans="1:5" x14ac:dyDescent="0.25">
      <c r="A151" s="21" t="s">
        <v>322</v>
      </c>
      <c r="B151" s="22" t="s">
        <v>323</v>
      </c>
      <c r="C151" s="36">
        <v>223</v>
      </c>
      <c r="D151" s="22" t="s">
        <v>102</v>
      </c>
      <c r="E151" s="22" t="s">
        <v>32</v>
      </c>
    </row>
    <row r="152" spans="1:5" x14ac:dyDescent="0.25">
      <c r="A152" s="21" t="s">
        <v>322</v>
      </c>
      <c r="B152" s="22" t="s">
        <v>324</v>
      </c>
      <c r="C152" s="36">
        <v>30</v>
      </c>
      <c r="D152" s="22" t="s">
        <v>111</v>
      </c>
      <c r="E152" s="22" t="s">
        <v>32</v>
      </c>
    </row>
    <row r="153" spans="1:5" x14ac:dyDescent="0.25">
      <c r="A153" s="21" t="s">
        <v>325</v>
      </c>
      <c r="B153" s="22" t="s">
        <v>326</v>
      </c>
      <c r="C153" s="36">
        <v>758</v>
      </c>
      <c r="D153" s="22" t="s">
        <v>109</v>
      </c>
      <c r="E153" s="22" t="s">
        <v>32</v>
      </c>
    </row>
    <row r="154" spans="1:5" x14ac:dyDescent="0.25">
      <c r="A154" s="21" t="s">
        <v>325</v>
      </c>
      <c r="B154" s="22" t="s">
        <v>177</v>
      </c>
      <c r="C154" s="36">
        <v>90</v>
      </c>
      <c r="D154" s="22" t="s">
        <v>111</v>
      </c>
      <c r="E154" s="22" t="s">
        <v>32</v>
      </c>
    </row>
    <row r="155" spans="1:5" x14ac:dyDescent="0.25">
      <c r="A155" s="21" t="s">
        <v>327</v>
      </c>
      <c r="B155" s="22" t="s">
        <v>328</v>
      </c>
      <c r="C155" s="36">
        <v>1100</v>
      </c>
      <c r="D155" s="22" t="s">
        <v>109</v>
      </c>
      <c r="E155" s="22" t="s">
        <v>32</v>
      </c>
    </row>
    <row r="156" spans="1:5" x14ac:dyDescent="0.25">
      <c r="A156" s="21" t="s">
        <v>327</v>
      </c>
      <c r="B156" s="22" t="s">
        <v>329</v>
      </c>
      <c r="C156" s="36">
        <v>600</v>
      </c>
      <c r="D156" s="22" t="s">
        <v>109</v>
      </c>
      <c r="E156" s="22" t="s">
        <v>32</v>
      </c>
    </row>
    <row r="157" spans="1:5" x14ac:dyDescent="0.25">
      <c r="A157" s="21" t="s">
        <v>330</v>
      </c>
      <c r="B157" s="22" t="s">
        <v>331</v>
      </c>
      <c r="C157" s="36">
        <v>2640</v>
      </c>
      <c r="D157" s="22" t="s">
        <v>109</v>
      </c>
      <c r="E157" s="22" t="s">
        <v>32</v>
      </c>
    </row>
    <row r="158" spans="1:5" x14ac:dyDescent="0.25">
      <c r="A158" s="21" t="s">
        <v>330</v>
      </c>
      <c r="B158" s="22" t="s">
        <v>332</v>
      </c>
      <c r="C158" s="36">
        <v>1100</v>
      </c>
      <c r="D158" s="22" t="s">
        <v>109</v>
      </c>
      <c r="E158" s="22" t="s">
        <v>32</v>
      </c>
    </row>
    <row r="159" spans="1:5" x14ac:dyDescent="0.25">
      <c r="A159" s="21" t="s">
        <v>330</v>
      </c>
      <c r="B159" s="22" t="s">
        <v>333</v>
      </c>
      <c r="C159" s="36">
        <v>3711</v>
      </c>
      <c r="D159" s="22" t="s">
        <v>109</v>
      </c>
      <c r="E159" s="22" t="s">
        <v>32</v>
      </c>
    </row>
    <row r="160" spans="1:5" x14ac:dyDescent="0.25">
      <c r="A160" s="21" t="s">
        <v>330</v>
      </c>
      <c r="B160" s="22" t="s">
        <v>334</v>
      </c>
      <c r="C160" s="36">
        <v>290</v>
      </c>
      <c r="D160" s="22" t="s">
        <v>109</v>
      </c>
      <c r="E160" s="22" t="s">
        <v>32</v>
      </c>
    </row>
    <row r="161" spans="1:5" x14ac:dyDescent="0.25">
      <c r="A161" s="21" t="s">
        <v>330</v>
      </c>
      <c r="B161" s="22" t="s">
        <v>335</v>
      </c>
      <c r="C161" s="36">
        <v>168</v>
      </c>
      <c r="D161" s="22" t="s">
        <v>109</v>
      </c>
      <c r="E161" s="22" t="s">
        <v>32</v>
      </c>
    </row>
    <row r="162" spans="1:5" x14ac:dyDescent="0.25">
      <c r="A162" s="24" t="s">
        <v>336</v>
      </c>
      <c r="B162" s="25" t="s">
        <v>102</v>
      </c>
      <c r="C162" s="26">
        <v>0</v>
      </c>
      <c r="D162" s="25" t="s">
        <v>102</v>
      </c>
      <c r="E162" s="25" t="s">
        <v>32</v>
      </c>
    </row>
    <row r="163" spans="1:5" x14ac:dyDescent="0.25">
      <c r="A163" s="21" t="s">
        <v>336</v>
      </c>
      <c r="B163" s="22" t="s">
        <v>237</v>
      </c>
      <c r="C163" s="36">
        <v>21</v>
      </c>
      <c r="D163" s="22" t="s">
        <v>102</v>
      </c>
      <c r="E163" s="22" t="s">
        <v>32</v>
      </c>
    </row>
    <row r="164" spans="1:5" x14ac:dyDescent="0.25">
      <c r="A164" s="21" t="s">
        <v>336</v>
      </c>
      <c r="B164" s="22" t="s">
        <v>266</v>
      </c>
      <c r="C164" s="36">
        <v>72</v>
      </c>
      <c r="D164" s="22" t="s">
        <v>109</v>
      </c>
      <c r="E164" s="22" t="s">
        <v>32</v>
      </c>
    </row>
    <row r="165" spans="1:5" x14ac:dyDescent="0.25">
      <c r="A165" s="21" t="s">
        <v>336</v>
      </c>
      <c r="B165" s="22" t="s">
        <v>337</v>
      </c>
      <c r="C165" s="37">
        <v>300</v>
      </c>
      <c r="D165" s="22" t="s">
        <v>111</v>
      </c>
      <c r="E165" s="22" t="s">
        <v>26</v>
      </c>
    </row>
    <row r="166" spans="1:5" x14ac:dyDescent="0.25">
      <c r="A166" s="21" t="s">
        <v>338</v>
      </c>
      <c r="B166" s="22" t="s">
        <v>339</v>
      </c>
      <c r="C166" s="37">
        <v>3210</v>
      </c>
      <c r="D166" s="22" t="s">
        <v>99</v>
      </c>
      <c r="E166" s="22" t="s">
        <v>26</v>
      </c>
    </row>
    <row r="167" spans="1:5" x14ac:dyDescent="0.25">
      <c r="A167" s="21" t="s">
        <v>338</v>
      </c>
      <c r="B167" s="22" t="s">
        <v>340</v>
      </c>
      <c r="C167" s="37">
        <v>637</v>
      </c>
      <c r="D167" s="22" t="s">
        <v>109</v>
      </c>
      <c r="E167" s="22" t="s">
        <v>26</v>
      </c>
    </row>
    <row r="168" spans="1:5" x14ac:dyDescent="0.25">
      <c r="A168" s="21" t="s">
        <v>31</v>
      </c>
      <c r="B168" s="22" t="s">
        <v>284</v>
      </c>
      <c r="C168" s="37">
        <v>180</v>
      </c>
      <c r="D168" s="22" t="s">
        <v>105</v>
      </c>
      <c r="E168" s="22" t="s">
        <v>26</v>
      </c>
    </row>
    <row r="169" spans="1:5" x14ac:dyDescent="0.25">
      <c r="A169" s="21" t="s">
        <v>341</v>
      </c>
      <c r="B169" s="22" t="s">
        <v>342</v>
      </c>
      <c r="C169" s="37">
        <v>140</v>
      </c>
      <c r="D169" s="22" t="s">
        <v>109</v>
      </c>
      <c r="E169" s="22" t="s">
        <v>26</v>
      </c>
    </row>
    <row r="170" spans="1:5" x14ac:dyDescent="0.25">
      <c r="A170" s="21" t="s">
        <v>343</v>
      </c>
      <c r="B170" s="22" t="s">
        <v>177</v>
      </c>
      <c r="C170" s="37">
        <v>220</v>
      </c>
      <c r="D170" s="22" t="s">
        <v>111</v>
      </c>
      <c r="E170" s="22" t="s">
        <v>26</v>
      </c>
    </row>
    <row r="171" spans="1:5" x14ac:dyDescent="0.25">
      <c r="A171" s="21" t="s">
        <v>344</v>
      </c>
      <c r="B171" s="22" t="s">
        <v>345</v>
      </c>
      <c r="C171" s="37">
        <v>115</v>
      </c>
      <c r="D171" s="22" t="s">
        <v>109</v>
      </c>
      <c r="E171" s="22" t="s">
        <v>26</v>
      </c>
    </row>
    <row r="172" spans="1:5" x14ac:dyDescent="0.25">
      <c r="A172" s="21" t="s">
        <v>344</v>
      </c>
      <c r="B172" s="22" t="s">
        <v>346</v>
      </c>
      <c r="C172" s="37">
        <v>94</v>
      </c>
      <c r="D172" s="22" t="s">
        <v>109</v>
      </c>
      <c r="E172" s="22" t="s">
        <v>26</v>
      </c>
    </row>
    <row r="173" spans="1:5" x14ac:dyDescent="0.25">
      <c r="A173" s="21" t="s">
        <v>344</v>
      </c>
      <c r="B173" s="22" t="s">
        <v>177</v>
      </c>
      <c r="C173" s="37">
        <v>20</v>
      </c>
      <c r="D173" s="22" t="s">
        <v>111</v>
      </c>
      <c r="E173" s="22" t="s">
        <v>26</v>
      </c>
    </row>
    <row r="174" spans="1:5" x14ac:dyDescent="0.25">
      <c r="A174" s="21" t="s">
        <v>344</v>
      </c>
      <c r="B174" s="22" t="s">
        <v>347</v>
      </c>
      <c r="C174" s="37">
        <v>445</v>
      </c>
      <c r="D174" s="22" t="s">
        <v>102</v>
      </c>
      <c r="E174" s="22" t="s">
        <v>26</v>
      </c>
    </row>
    <row r="175" spans="1:5" x14ac:dyDescent="0.25">
      <c r="A175" s="21" t="s">
        <v>344</v>
      </c>
      <c r="B175" s="22" t="s">
        <v>348</v>
      </c>
      <c r="C175" s="37">
        <v>1507</v>
      </c>
      <c r="D175" s="22" t="s">
        <v>102</v>
      </c>
      <c r="E175" s="22" t="s">
        <v>26</v>
      </c>
    </row>
    <row r="176" spans="1:5" x14ac:dyDescent="0.25">
      <c r="A176" s="21" t="s">
        <v>349</v>
      </c>
      <c r="B176" s="22" t="s">
        <v>350</v>
      </c>
      <c r="C176" s="37">
        <v>450</v>
      </c>
      <c r="D176" s="22" t="s">
        <v>109</v>
      </c>
      <c r="E176" s="22" t="s">
        <v>26</v>
      </c>
    </row>
    <row r="177" spans="1:5" x14ac:dyDescent="0.25">
      <c r="A177" s="21" t="s">
        <v>349</v>
      </c>
      <c r="B177" s="22" t="s">
        <v>351</v>
      </c>
      <c r="C177" s="37">
        <v>1174</v>
      </c>
      <c r="D177" s="22" t="s">
        <v>109</v>
      </c>
      <c r="E177" s="22" t="s">
        <v>26</v>
      </c>
    </row>
    <row r="178" spans="1:5" x14ac:dyDescent="0.25">
      <c r="A178" s="21" t="s">
        <v>28</v>
      </c>
      <c r="B178" s="22" t="s">
        <v>352</v>
      </c>
      <c r="C178" s="37">
        <v>35</v>
      </c>
      <c r="D178" s="22" t="s">
        <v>107</v>
      </c>
      <c r="E178" s="22" t="s">
        <v>26</v>
      </c>
    </row>
    <row r="179" spans="1:5" x14ac:dyDescent="0.25">
      <c r="A179" s="21" t="s">
        <v>28</v>
      </c>
      <c r="B179" s="22" t="s">
        <v>353</v>
      </c>
      <c r="C179" s="37">
        <v>430</v>
      </c>
      <c r="D179" s="22" t="s">
        <v>102</v>
      </c>
      <c r="E179" s="22" t="s">
        <v>26</v>
      </c>
    </row>
    <row r="180" spans="1:5" x14ac:dyDescent="0.25">
      <c r="A180" s="21" t="s">
        <v>354</v>
      </c>
      <c r="B180" s="22" t="s">
        <v>355</v>
      </c>
      <c r="C180" s="37">
        <v>218</v>
      </c>
      <c r="D180" s="22" t="s">
        <v>109</v>
      </c>
      <c r="E180" s="22" t="s">
        <v>26</v>
      </c>
    </row>
    <row r="181" spans="1:5" x14ac:dyDescent="0.25">
      <c r="A181" s="21" t="s">
        <v>354</v>
      </c>
      <c r="B181" s="22" t="s">
        <v>356</v>
      </c>
      <c r="C181" s="37">
        <v>25</v>
      </c>
      <c r="D181" s="22" t="s">
        <v>109</v>
      </c>
      <c r="E181" s="22" t="s">
        <v>26</v>
      </c>
    </row>
    <row r="182" spans="1:5" x14ac:dyDescent="0.25">
      <c r="A182" s="21" t="s">
        <v>357</v>
      </c>
      <c r="B182" s="22" t="s">
        <v>358</v>
      </c>
      <c r="C182" s="37">
        <v>1499</v>
      </c>
      <c r="D182" s="22" t="s">
        <v>109</v>
      </c>
      <c r="E182" s="22" t="s">
        <v>26</v>
      </c>
    </row>
    <row r="183" spans="1:5" x14ac:dyDescent="0.25">
      <c r="A183" s="21" t="s">
        <v>359</v>
      </c>
      <c r="B183" s="22" t="s">
        <v>360</v>
      </c>
      <c r="C183" s="37">
        <v>372</v>
      </c>
      <c r="D183" s="22" t="s">
        <v>102</v>
      </c>
      <c r="E183" s="22" t="s">
        <v>26</v>
      </c>
    </row>
    <row r="184" spans="1:5" x14ac:dyDescent="0.25">
      <c r="A184" s="21" t="s">
        <v>359</v>
      </c>
      <c r="B184" s="22" t="s">
        <v>131</v>
      </c>
      <c r="C184" s="37">
        <v>36</v>
      </c>
      <c r="D184" s="22" t="s">
        <v>102</v>
      </c>
      <c r="E184" s="22" t="s">
        <v>26</v>
      </c>
    </row>
    <row r="185" spans="1:5" x14ac:dyDescent="0.25">
      <c r="A185" s="21" t="s">
        <v>359</v>
      </c>
      <c r="B185" s="22" t="s">
        <v>361</v>
      </c>
      <c r="C185" s="37">
        <v>20</v>
      </c>
      <c r="D185" s="22" t="s">
        <v>111</v>
      </c>
      <c r="E185" s="22" t="s">
        <v>26</v>
      </c>
    </row>
    <row r="186" spans="1:5" x14ac:dyDescent="0.25">
      <c r="A186" s="21" t="s">
        <v>359</v>
      </c>
      <c r="B186" s="22" t="s">
        <v>160</v>
      </c>
      <c r="C186" s="37">
        <v>145</v>
      </c>
      <c r="D186" s="22" t="s">
        <v>111</v>
      </c>
      <c r="E186" s="22" t="s">
        <v>26</v>
      </c>
    </row>
    <row r="187" spans="1:5" x14ac:dyDescent="0.25">
      <c r="A187" s="21" t="s">
        <v>359</v>
      </c>
      <c r="B187" s="22" t="s">
        <v>362</v>
      </c>
      <c r="C187" s="37">
        <v>19200</v>
      </c>
      <c r="D187" s="22" t="s">
        <v>103</v>
      </c>
      <c r="E187" s="22" t="s">
        <v>26</v>
      </c>
    </row>
    <row r="188" spans="1:5" x14ac:dyDescent="0.25">
      <c r="A188" s="21" t="s">
        <v>359</v>
      </c>
      <c r="B188" s="22" t="s">
        <v>363</v>
      </c>
      <c r="C188" s="37">
        <v>1800</v>
      </c>
      <c r="D188" s="22" t="s">
        <v>106</v>
      </c>
      <c r="E188" s="22" t="s">
        <v>26</v>
      </c>
    </row>
    <row r="189" spans="1:5" x14ac:dyDescent="0.25">
      <c r="A189" s="21" t="s">
        <v>359</v>
      </c>
      <c r="B189" s="22" t="s">
        <v>364</v>
      </c>
      <c r="C189" s="37">
        <v>500</v>
      </c>
      <c r="D189" s="22" t="s">
        <v>106</v>
      </c>
      <c r="E189" s="22" t="s">
        <v>26</v>
      </c>
    </row>
    <row r="190" spans="1:5" x14ac:dyDescent="0.25">
      <c r="A190" s="21" t="s">
        <v>359</v>
      </c>
      <c r="B190" s="22" t="s">
        <v>365</v>
      </c>
      <c r="C190" s="37">
        <v>650</v>
      </c>
      <c r="D190" s="22" t="s">
        <v>104</v>
      </c>
      <c r="E190" s="22" t="s">
        <v>26</v>
      </c>
    </row>
    <row r="191" spans="1:5" x14ac:dyDescent="0.25">
      <c r="A191" s="21" t="s">
        <v>366</v>
      </c>
      <c r="B191" s="22" t="s">
        <v>368</v>
      </c>
      <c r="C191" s="37">
        <v>120</v>
      </c>
      <c r="D191" s="22" t="s">
        <v>104</v>
      </c>
      <c r="E191" s="22" t="s">
        <v>26</v>
      </c>
    </row>
    <row r="192" spans="1:5" x14ac:dyDescent="0.25">
      <c r="A192" s="21" t="s">
        <v>366</v>
      </c>
      <c r="B192" s="22" t="s">
        <v>369</v>
      </c>
      <c r="C192" s="37">
        <v>140</v>
      </c>
      <c r="D192" s="22" t="s">
        <v>111</v>
      </c>
      <c r="E192" s="22" t="s">
        <v>26</v>
      </c>
    </row>
    <row r="193" spans="1:5" x14ac:dyDescent="0.25">
      <c r="A193" s="21" t="s">
        <v>366</v>
      </c>
      <c r="B193" s="22" t="s">
        <v>370</v>
      </c>
      <c r="C193" s="37">
        <v>197</v>
      </c>
      <c r="D193" s="22" t="s">
        <v>102</v>
      </c>
      <c r="E193" s="22" t="s">
        <v>26</v>
      </c>
    </row>
    <row r="194" spans="1:5" x14ac:dyDescent="0.25">
      <c r="A194" s="21" t="s">
        <v>371</v>
      </c>
      <c r="B194" s="22" t="s">
        <v>372</v>
      </c>
      <c r="C194" s="37">
        <v>10</v>
      </c>
      <c r="D194" s="22" t="s">
        <v>111</v>
      </c>
      <c r="E194" s="22" t="s">
        <v>26</v>
      </c>
    </row>
    <row r="195" spans="1:5" x14ac:dyDescent="0.25">
      <c r="A195" s="21" t="s">
        <v>371</v>
      </c>
      <c r="B195" s="22" t="s">
        <v>266</v>
      </c>
      <c r="C195" s="37">
        <v>88</v>
      </c>
      <c r="D195" s="22" t="s">
        <v>109</v>
      </c>
      <c r="E195" s="22" t="s">
        <v>26</v>
      </c>
    </row>
    <row r="196" spans="1:5" x14ac:dyDescent="0.25">
      <c r="A196" s="21" t="s">
        <v>371</v>
      </c>
      <c r="B196" s="22" t="s">
        <v>373</v>
      </c>
      <c r="C196" s="37">
        <v>200</v>
      </c>
      <c r="D196" s="22" t="s">
        <v>111</v>
      </c>
      <c r="E196" s="22" t="s">
        <v>26</v>
      </c>
    </row>
    <row r="197" spans="1:5" x14ac:dyDescent="0.25">
      <c r="A197" s="21" t="s">
        <v>374</v>
      </c>
      <c r="B197" s="22" t="s">
        <v>375</v>
      </c>
      <c r="C197" s="37">
        <v>105</v>
      </c>
      <c r="D197" s="22" t="s">
        <v>102</v>
      </c>
      <c r="E197" s="22" t="s">
        <v>26</v>
      </c>
    </row>
    <row r="198" spans="1:5" x14ac:dyDescent="0.25">
      <c r="A198" s="21" t="s">
        <v>374</v>
      </c>
      <c r="B198" s="22" t="s">
        <v>376</v>
      </c>
      <c r="C198" s="37">
        <v>310</v>
      </c>
      <c r="D198" s="22" t="s">
        <v>102</v>
      </c>
      <c r="E198" s="22" t="s">
        <v>26</v>
      </c>
    </row>
    <row r="199" spans="1:5" x14ac:dyDescent="0.25">
      <c r="A199" s="21" t="s">
        <v>380</v>
      </c>
      <c r="B199" s="22" t="s">
        <v>208</v>
      </c>
      <c r="C199" s="37">
        <v>100</v>
      </c>
      <c r="D199" s="22" t="s">
        <v>111</v>
      </c>
      <c r="E199" s="22" t="s">
        <v>26</v>
      </c>
    </row>
    <row r="200" spans="1:5" x14ac:dyDescent="0.25">
      <c r="A200" s="21" t="s">
        <v>383</v>
      </c>
      <c r="B200" s="22" t="s">
        <v>105</v>
      </c>
      <c r="C200" s="37">
        <v>90</v>
      </c>
      <c r="D200" s="22" t="s">
        <v>105</v>
      </c>
      <c r="E200" s="22" t="s">
        <v>26</v>
      </c>
    </row>
    <row r="201" spans="1:5" x14ac:dyDescent="0.25">
      <c r="A201" s="21" t="s">
        <v>403</v>
      </c>
      <c r="B201" s="22" t="s">
        <v>215</v>
      </c>
      <c r="C201" s="37">
        <v>40</v>
      </c>
      <c r="D201" s="22" t="s">
        <v>111</v>
      </c>
      <c r="E201" s="22" t="s">
        <v>26</v>
      </c>
    </row>
    <row r="202" spans="1:5" x14ac:dyDescent="0.25">
      <c r="A202" s="21" t="s">
        <v>403</v>
      </c>
      <c r="B202" s="22" t="s">
        <v>413</v>
      </c>
      <c r="C202" s="37">
        <v>25</v>
      </c>
      <c r="D202" s="22" t="s">
        <v>111</v>
      </c>
      <c r="E202" s="22" t="s">
        <v>26</v>
      </c>
    </row>
    <row r="203" spans="1:5" x14ac:dyDescent="0.25">
      <c r="A203" s="21" t="s">
        <v>403</v>
      </c>
      <c r="B203" s="22" t="s">
        <v>414</v>
      </c>
      <c r="C203" s="37">
        <v>20</v>
      </c>
      <c r="D203" s="22" t="s">
        <v>111</v>
      </c>
      <c r="E203" s="22" t="s">
        <v>26</v>
      </c>
    </row>
    <row r="204" spans="1:5" x14ac:dyDescent="0.25">
      <c r="A204" s="21" t="s">
        <v>403</v>
      </c>
      <c r="B204" s="22" t="s">
        <v>273</v>
      </c>
      <c r="C204" s="37">
        <v>50</v>
      </c>
      <c r="D204" s="22" t="s">
        <v>111</v>
      </c>
      <c r="E204" s="22" t="s">
        <v>26</v>
      </c>
    </row>
    <row r="205" spans="1:5" x14ac:dyDescent="0.25">
      <c r="A205" s="21" t="s">
        <v>417</v>
      </c>
      <c r="B205" s="22" t="s">
        <v>418</v>
      </c>
      <c r="C205" s="37">
        <v>170</v>
      </c>
      <c r="D205" s="22" t="s">
        <v>109</v>
      </c>
      <c r="E205" s="22" t="s">
        <v>26</v>
      </c>
    </row>
    <row r="206" spans="1:5" x14ac:dyDescent="0.25">
      <c r="A206" s="21" t="s">
        <v>417</v>
      </c>
      <c r="B206" s="22" t="s">
        <v>192</v>
      </c>
      <c r="C206" s="37">
        <v>280</v>
      </c>
      <c r="D206" s="22" t="s">
        <v>109</v>
      </c>
      <c r="E206" s="22" t="s">
        <v>26</v>
      </c>
    </row>
    <row r="207" spans="1:5" x14ac:dyDescent="0.25">
      <c r="A207" s="21" t="s">
        <v>419</v>
      </c>
      <c r="B207" s="22" t="s">
        <v>177</v>
      </c>
      <c r="C207" s="37">
        <v>120</v>
      </c>
      <c r="D207" s="22" t="s">
        <v>111</v>
      </c>
      <c r="E207" s="22" t="s">
        <v>26</v>
      </c>
    </row>
    <row r="208" spans="1:5" x14ac:dyDescent="0.25">
      <c r="A208" s="21" t="s">
        <v>419</v>
      </c>
      <c r="B208" s="22" t="s">
        <v>420</v>
      </c>
      <c r="C208" s="37">
        <v>220</v>
      </c>
      <c r="D208" s="22" t="s">
        <v>109</v>
      </c>
      <c r="E208" s="22" t="s">
        <v>26</v>
      </c>
    </row>
    <row r="209" spans="1:5" x14ac:dyDescent="0.25">
      <c r="A209" s="21" t="s">
        <v>419</v>
      </c>
      <c r="B209" s="22" t="s">
        <v>421</v>
      </c>
      <c r="C209" s="37">
        <v>80</v>
      </c>
      <c r="D209" s="22" t="s">
        <v>102</v>
      </c>
      <c r="E209" s="22" t="s">
        <v>26</v>
      </c>
    </row>
    <row r="210" spans="1:5" x14ac:dyDescent="0.25">
      <c r="A210" s="21" t="s">
        <v>419</v>
      </c>
      <c r="B210" s="22" t="s">
        <v>422</v>
      </c>
      <c r="C210" s="37">
        <v>3700</v>
      </c>
      <c r="D210" s="22" t="s">
        <v>106</v>
      </c>
      <c r="E210" s="22" t="s">
        <v>26</v>
      </c>
    </row>
    <row r="211" spans="1:5" x14ac:dyDescent="0.25">
      <c r="A211" s="21" t="s">
        <v>423</v>
      </c>
      <c r="B211" s="22" t="s">
        <v>142</v>
      </c>
      <c r="C211" s="37">
        <v>9888.41</v>
      </c>
      <c r="D211" s="22" t="s">
        <v>102</v>
      </c>
      <c r="E211" s="22" t="s">
        <v>26</v>
      </c>
    </row>
    <row r="212" spans="1:5" x14ac:dyDescent="0.25">
      <c r="A212" s="21" t="s">
        <v>424</v>
      </c>
      <c r="B212" s="22" t="s">
        <v>425</v>
      </c>
      <c r="C212" s="37">
        <v>237</v>
      </c>
      <c r="D212" s="22" t="s">
        <v>109</v>
      </c>
      <c r="E212" s="22" t="s">
        <v>26</v>
      </c>
    </row>
    <row r="213" spans="1:5" x14ac:dyDescent="0.25">
      <c r="A213" s="21" t="s">
        <v>426</v>
      </c>
      <c r="B213" s="22" t="s">
        <v>427</v>
      </c>
      <c r="C213" s="37">
        <v>11700</v>
      </c>
      <c r="D213" s="22" t="s">
        <v>197</v>
      </c>
      <c r="E213" s="22" t="s">
        <v>26</v>
      </c>
    </row>
    <row r="214" spans="1:5" x14ac:dyDescent="0.25">
      <c r="A214" s="21" t="s">
        <v>428</v>
      </c>
      <c r="B214" s="22" t="s">
        <v>429</v>
      </c>
      <c r="C214" s="37">
        <v>100</v>
      </c>
      <c r="D214" s="22" t="s">
        <v>109</v>
      </c>
      <c r="E214" s="22" t="s">
        <v>26</v>
      </c>
    </row>
    <row r="215" spans="1:5" x14ac:dyDescent="0.25">
      <c r="A215" s="21" t="s">
        <v>428</v>
      </c>
      <c r="B215" s="22" t="s">
        <v>430</v>
      </c>
      <c r="C215" s="37">
        <v>130</v>
      </c>
      <c r="D215" s="22" t="s">
        <v>111</v>
      </c>
      <c r="E215" s="22" t="s">
        <v>26</v>
      </c>
    </row>
    <row r="216" spans="1:5" x14ac:dyDescent="0.25">
      <c r="A216" s="24" t="s">
        <v>432</v>
      </c>
      <c r="B216" s="25" t="s">
        <v>109</v>
      </c>
      <c r="C216" s="26">
        <v>0</v>
      </c>
      <c r="D216" s="25" t="s">
        <v>109</v>
      </c>
      <c r="E216" s="25" t="s">
        <v>26</v>
      </c>
    </row>
    <row r="217" spans="1:5" x14ac:dyDescent="0.25">
      <c r="A217" s="21" t="s">
        <v>432</v>
      </c>
      <c r="B217" s="22" t="s">
        <v>128</v>
      </c>
      <c r="C217" s="37">
        <v>83</v>
      </c>
      <c r="D217" s="22" t="s">
        <v>109</v>
      </c>
      <c r="E217" s="22" t="s">
        <v>26</v>
      </c>
    </row>
    <row r="218" spans="1:5" x14ac:dyDescent="0.25">
      <c r="A218" s="21" t="s">
        <v>433</v>
      </c>
      <c r="B218" s="22" t="s">
        <v>434</v>
      </c>
      <c r="C218" s="37">
        <v>74</v>
      </c>
      <c r="D218" s="22" t="s">
        <v>109</v>
      </c>
      <c r="E218" s="22" t="s">
        <v>26</v>
      </c>
    </row>
    <row r="219" spans="1:5" x14ac:dyDescent="0.25">
      <c r="A219" s="21" t="s">
        <v>435</v>
      </c>
      <c r="B219" s="22" t="s">
        <v>436</v>
      </c>
      <c r="C219" s="37">
        <v>37</v>
      </c>
      <c r="D219" s="22" t="s">
        <v>107</v>
      </c>
      <c r="E219" s="22" t="s">
        <v>26</v>
      </c>
    </row>
    <row r="220" spans="1:5" x14ac:dyDescent="0.25">
      <c r="A220" s="21" t="s">
        <v>437</v>
      </c>
      <c r="B220" s="22" t="s">
        <v>177</v>
      </c>
      <c r="C220" s="37">
        <v>115</v>
      </c>
      <c r="D220" s="22" t="s">
        <v>111</v>
      </c>
      <c r="E220" s="22" t="s">
        <v>26</v>
      </c>
    </row>
    <row r="221" spans="1:5" x14ac:dyDescent="0.25">
      <c r="A221" s="21" t="s">
        <v>437</v>
      </c>
      <c r="B221" s="22" t="s">
        <v>438</v>
      </c>
      <c r="C221" s="37">
        <v>37</v>
      </c>
      <c r="D221" s="22" t="s">
        <v>107</v>
      </c>
      <c r="E221" s="22" t="s">
        <v>26</v>
      </c>
    </row>
    <row r="222" spans="1:5" x14ac:dyDescent="0.25">
      <c r="A222" s="21" t="s">
        <v>439</v>
      </c>
      <c r="B222" s="22" t="s">
        <v>195</v>
      </c>
      <c r="C222" s="37">
        <v>644</v>
      </c>
      <c r="D222" s="22" t="s">
        <v>107</v>
      </c>
      <c r="E222" s="22" t="s">
        <v>26</v>
      </c>
    </row>
    <row r="223" spans="1:5" x14ac:dyDescent="0.25">
      <c r="A223" s="21" t="s">
        <v>439</v>
      </c>
      <c r="B223" s="22" t="s">
        <v>440</v>
      </c>
      <c r="C223" s="37">
        <v>120</v>
      </c>
      <c r="D223" s="22" t="s">
        <v>111</v>
      </c>
      <c r="E223" s="22" t="s">
        <v>26</v>
      </c>
    </row>
    <row r="224" spans="1:5" x14ac:dyDescent="0.25">
      <c r="A224" s="21" t="s">
        <v>439</v>
      </c>
      <c r="B224" s="22" t="s">
        <v>438</v>
      </c>
      <c r="C224" s="29">
        <v>37</v>
      </c>
      <c r="D224" s="22" t="s">
        <v>107</v>
      </c>
      <c r="E224" s="22" t="s">
        <v>26</v>
      </c>
    </row>
    <row r="225" spans="1:5" x14ac:dyDescent="0.25">
      <c r="A225" s="21" t="s">
        <v>439</v>
      </c>
      <c r="B225" s="22" t="s">
        <v>441</v>
      </c>
      <c r="C225" s="29">
        <v>110</v>
      </c>
      <c r="D225" s="22" t="s">
        <v>109</v>
      </c>
      <c r="E225" s="22" t="s">
        <v>26</v>
      </c>
    </row>
    <row r="226" spans="1:5" x14ac:dyDescent="0.25">
      <c r="A226" s="34" t="s">
        <v>439</v>
      </c>
      <c r="B226" s="22" t="s">
        <v>442</v>
      </c>
      <c r="C226" s="29">
        <v>210</v>
      </c>
      <c r="D226" s="22" t="s">
        <v>109</v>
      </c>
      <c r="E226" s="35" t="s">
        <v>26</v>
      </c>
    </row>
    <row r="227" spans="1:5" x14ac:dyDescent="0.25">
      <c r="A227" s="21" t="s">
        <v>25</v>
      </c>
      <c r="B227" s="22" t="s">
        <v>443</v>
      </c>
      <c r="C227" s="38">
        <v>3990</v>
      </c>
      <c r="D227" s="22" t="s">
        <v>99</v>
      </c>
      <c r="E227" s="22" t="s">
        <v>20</v>
      </c>
    </row>
    <row r="228" spans="1:5" x14ac:dyDescent="0.25">
      <c r="A228" s="21" t="s">
        <v>444</v>
      </c>
      <c r="B228" s="22" t="s">
        <v>445</v>
      </c>
      <c r="C228" s="38">
        <v>300</v>
      </c>
      <c r="D228" s="22" t="s">
        <v>102</v>
      </c>
      <c r="E228" s="22" t="s">
        <v>20</v>
      </c>
    </row>
    <row r="229" spans="1:5" x14ac:dyDescent="0.25">
      <c r="A229" s="21" t="s">
        <v>444</v>
      </c>
      <c r="B229" s="22" t="s">
        <v>446</v>
      </c>
      <c r="C229" s="38">
        <v>180</v>
      </c>
      <c r="D229" s="22" t="s">
        <v>104</v>
      </c>
      <c r="E229" s="22" t="s">
        <v>20</v>
      </c>
    </row>
    <row r="230" spans="1:5" x14ac:dyDescent="0.25">
      <c r="A230" s="21" t="s">
        <v>444</v>
      </c>
      <c r="B230" s="22" t="s">
        <v>447</v>
      </c>
      <c r="C230" s="38">
        <v>3275</v>
      </c>
      <c r="D230" s="22" t="s">
        <v>104</v>
      </c>
      <c r="E230" s="22" t="s">
        <v>20</v>
      </c>
    </row>
    <row r="231" spans="1:5" x14ac:dyDescent="0.25">
      <c r="A231" s="21" t="s">
        <v>444</v>
      </c>
      <c r="B231" s="22" t="s">
        <v>448</v>
      </c>
      <c r="C231" s="38">
        <v>1097</v>
      </c>
      <c r="D231" s="22" t="s">
        <v>100</v>
      </c>
      <c r="E231" s="22" t="s">
        <v>20</v>
      </c>
    </row>
    <row r="232" spans="1:5" x14ac:dyDescent="0.25">
      <c r="A232" s="21" t="s">
        <v>449</v>
      </c>
      <c r="B232" s="22" t="s">
        <v>450</v>
      </c>
      <c r="C232" s="38">
        <v>1994</v>
      </c>
      <c r="D232" s="22" t="s">
        <v>107</v>
      </c>
      <c r="E232" s="22" t="s">
        <v>20</v>
      </c>
    </row>
    <row r="233" spans="1:5" x14ac:dyDescent="0.25">
      <c r="A233" s="21" t="s">
        <v>449</v>
      </c>
      <c r="B233" s="22" t="s">
        <v>451</v>
      </c>
      <c r="C233" s="38">
        <v>265</v>
      </c>
      <c r="D233" s="22" t="s">
        <v>102</v>
      </c>
      <c r="E233" s="22" t="s">
        <v>20</v>
      </c>
    </row>
    <row r="234" spans="1:5" x14ac:dyDescent="0.25">
      <c r="A234" s="21" t="s">
        <v>449</v>
      </c>
      <c r="B234" s="22" t="s">
        <v>452</v>
      </c>
      <c r="C234" s="38">
        <v>170</v>
      </c>
      <c r="D234" s="22" t="s">
        <v>111</v>
      </c>
      <c r="E234" s="22" t="s">
        <v>20</v>
      </c>
    </row>
    <row r="235" spans="1:5" x14ac:dyDescent="0.25">
      <c r="A235" s="21" t="s">
        <v>453</v>
      </c>
      <c r="B235" s="22" t="s">
        <v>454</v>
      </c>
      <c r="C235" s="38">
        <v>200</v>
      </c>
      <c r="D235" s="22" t="s">
        <v>111</v>
      </c>
      <c r="E235" s="22" t="s">
        <v>20</v>
      </c>
    </row>
    <row r="236" spans="1:5" x14ac:dyDescent="0.25">
      <c r="A236" s="21" t="s">
        <v>455</v>
      </c>
      <c r="B236" s="22" t="s">
        <v>456</v>
      </c>
      <c r="C236" s="38">
        <v>150.6</v>
      </c>
      <c r="D236" s="22" t="s">
        <v>109</v>
      </c>
      <c r="E236" s="22" t="s">
        <v>20</v>
      </c>
    </row>
    <row r="237" spans="1:5" x14ac:dyDescent="0.25">
      <c r="A237" s="24" t="s">
        <v>22</v>
      </c>
      <c r="B237" s="25" t="s">
        <v>109</v>
      </c>
      <c r="C237" s="26">
        <v>0</v>
      </c>
      <c r="D237" s="25" t="s">
        <v>109</v>
      </c>
      <c r="E237" s="25" t="s">
        <v>20</v>
      </c>
    </row>
    <row r="238" spans="1:5" x14ac:dyDescent="0.25">
      <c r="A238" s="24" t="s">
        <v>22</v>
      </c>
      <c r="B238" s="25" t="s">
        <v>109</v>
      </c>
      <c r="C238" s="26">
        <v>0</v>
      </c>
      <c r="D238" s="25" t="s">
        <v>109</v>
      </c>
      <c r="E238" s="25" t="s">
        <v>20</v>
      </c>
    </row>
    <row r="239" spans="1:5" x14ac:dyDescent="0.25">
      <c r="A239" s="21" t="s">
        <v>22</v>
      </c>
      <c r="B239" s="22" t="s">
        <v>457</v>
      </c>
      <c r="C239" s="38">
        <v>5500</v>
      </c>
      <c r="D239" s="22" t="s">
        <v>109</v>
      </c>
      <c r="E239" s="22" t="s">
        <v>20</v>
      </c>
    </row>
    <row r="240" spans="1:5" x14ac:dyDescent="0.25">
      <c r="A240" s="21" t="s">
        <v>22</v>
      </c>
      <c r="B240" s="22" t="s">
        <v>458</v>
      </c>
      <c r="C240" s="38">
        <v>19200</v>
      </c>
      <c r="D240" s="22" t="s">
        <v>103</v>
      </c>
      <c r="E240" s="22" t="s">
        <v>20</v>
      </c>
    </row>
    <row r="241" spans="1:5" x14ac:dyDescent="0.25">
      <c r="A241" s="21" t="s">
        <v>22</v>
      </c>
      <c r="B241" s="22" t="s">
        <v>459</v>
      </c>
      <c r="C241" s="38">
        <v>3075</v>
      </c>
      <c r="D241" s="22" t="s">
        <v>109</v>
      </c>
      <c r="E241" s="22" t="s">
        <v>20</v>
      </c>
    </row>
    <row r="242" spans="1:5" x14ac:dyDescent="0.25">
      <c r="A242" s="21" t="s">
        <v>22</v>
      </c>
      <c r="B242" s="22" t="s">
        <v>460</v>
      </c>
      <c r="C242" s="38">
        <v>20</v>
      </c>
      <c r="D242" s="22" t="s">
        <v>102</v>
      </c>
      <c r="E242" s="22" t="s">
        <v>20</v>
      </c>
    </row>
    <row r="243" spans="1:5" x14ac:dyDescent="0.25">
      <c r="A243" s="21" t="s">
        <v>22</v>
      </c>
      <c r="B243" s="22" t="s">
        <v>180</v>
      </c>
      <c r="C243" s="38">
        <v>300</v>
      </c>
      <c r="D243" s="22" t="s">
        <v>109</v>
      </c>
      <c r="E243" s="22" t="s">
        <v>20</v>
      </c>
    </row>
    <row r="244" spans="1:5" x14ac:dyDescent="0.25">
      <c r="A244" s="24" t="s">
        <v>461</v>
      </c>
      <c r="B244" s="25" t="s">
        <v>109</v>
      </c>
      <c r="C244" s="26">
        <v>0</v>
      </c>
      <c r="D244" s="25" t="s">
        <v>109</v>
      </c>
      <c r="E244" s="25" t="s">
        <v>20</v>
      </c>
    </row>
    <row r="245" spans="1:5" x14ac:dyDescent="0.25">
      <c r="A245" s="21" t="s">
        <v>461</v>
      </c>
      <c r="B245" s="22" t="s">
        <v>462</v>
      </c>
      <c r="C245" s="38">
        <v>60</v>
      </c>
      <c r="D245" s="22" t="s">
        <v>109</v>
      </c>
      <c r="E245" s="22" t="s">
        <v>20</v>
      </c>
    </row>
    <row r="246" spans="1:5" x14ac:dyDescent="0.25">
      <c r="A246" s="21" t="s">
        <v>463</v>
      </c>
      <c r="B246" s="22" t="s">
        <v>464</v>
      </c>
      <c r="C246" s="38">
        <v>13535</v>
      </c>
      <c r="D246" s="22" t="s">
        <v>108</v>
      </c>
      <c r="E246" s="22" t="s">
        <v>20</v>
      </c>
    </row>
    <row r="247" spans="1:5" x14ac:dyDescent="0.25">
      <c r="A247" s="21" t="s">
        <v>463</v>
      </c>
      <c r="B247" s="22" t="s">
        <v>465</v>
      </c>
      <c r="C247" s="38">
        <v>1562</v>
      </c>
      <c r="D247" s="22" t="s">
        <v>107</v>
      </c>
      <c r="E247" s="22" t="s">
        <v>20</v>
      </c>
    </row>
    <row r="248" spans="1:5" x14ac:dyDescent="0.25">
      <c r="A248" s="21" t="s">
        <v>466</v>
      </c>
      <c r="B248" s="22" t="s">
        <v>177</v>
      </c>
      <c r="C248" s="38">
        <v>85</v>
      </c>
      <c r="D248" s="22" t="s">
        <v>111</v>
      </c>
      <c r="E248" s="22" t="s">
        <v>20</v>
      </c>
    </row>
    <row r="249" spans="1:5" x14ac:dyDescent="0.25">
      <c r="A249" s="21" t="s">
        <v>466</v>
      </c>
      <c r="B249" s="22" t="s">
        <v>128</v>
      </c>
      <c r="C249" s="38">
        <v>158</v>
      </c>
      <c r="D249" s="22" t="s">
        <v>109</v>
      </c>
      <c r="E249" s="22" t="s">
        <v>20</v>
      </c>
    </row>
    <row r="250" spans="1:5" x14ac:dyDescent="0.25">
      <c r="A250" s="21" t="s">
        <v>466</v>
      </c>
      <c r="B250" s="22" t="s">
        <v>270</v>
      </c>
      <c r="C250" s="38">
        <v>6000</v>
      </c>
      <c r="D250" s="22" t="s">
        <v>106</v>
      </c>
      <c r="E250" s="22" t="s">
        <v>20</v>
      </c>
    </row>
    <row r="251" spans="1:5" x14ac:dyDescent="0.25">
      <c r="A251" s="21" t="s">
        <v>466</v>
      </c>
      <c r="B251" s="22" t="s">
        <v>467</v>
      </c>
      <c r="C251" s="38">
        <v>500</v>
      </c>
      <c r="D251" s="22" t="s">
        <v>106</v>
      </c>
      <c r="E251" s="22" t="s">
        <v>20</v>
      </c>
    </row>
    <row r="252" spans="1:5" x14ac:dyDescent="0.25">
      <c r="A252" s="21" t="s">
        <v>466</v>
      </c>
      <c r="B252" s="22" t="s">
        <v>431</v>
      </c>
      <c r="C252" s="38">
        <v>200</v>
      </c>
      <c r="D252" s="22" t="s">
        <v>106</v>
      </c>
      <c r="E252" s="22" t="s">
        <v>20</v>
      </c>
    </row>
    <row r="253" spans="1:5" x14ac:dyDescent="0.25">
      <c r="A253" s="39" t="s">
        <v>428</v>
      </c>
      <c r="B253" s="28" t="s">
        <v>431</v>
      </c>
      <c r="C253" s="41">
        <v>100</v>
      </c>
      <c r="D253" s="28" t="s">
        <v>106</v>
      </c>
      <c r="E253" s="40" t="s">
        <v>20</v>
      </c>
    </row>
    <row r="254" spans="1:5" x14ac:dyDescent="0.25">
      <c r="A254" s="21" t="s">
        <v>468</v>
      </c>
      <c r="B254" s="22" t="s">
        <v>237</v>
      </c>
      <c r="C254" s="38">
        <v>35</v>
      </c>
      <c r="D254" s="22" t="s">
        <v>109</v>
      </c>
      <c r="E254" s="22" t="s">
        <v>20</v>
      </c>
    </row>
    <row r="255" spans="1:5" x14ac:dyDescent="0.25">
      <c r="A255" s="21" t="s">
        <v>468</v>
      </c>
      <c r="B255" s="22" t="s">
        <v>245</v>
      </c>
      <c r="C255" s="38">
        <v>30</v>
      </c>
      <c r="D255" s="22" t="s">
        <v>111</v>
      </c>
      <c r="E255" s="22" t="s">
        <v>20</v>
      </c>
    </row>
    <row r="256" spans="1:5" x14ac:dyDescent="0.25">
      <c r="A256" s="21" t="s">
        <v>469</v>
      </c>
      <c r="B256" s="22" t="s">
        <v>470</v>
      </c>
      <c r="C256" s="38">
        <v>310</v>
      </c>
      <c r="D256" s="22" t="s">
        <v>109</v>
      </c>
      <c r="E256" s="22" t="s">
        <v>20</v>
      </c>
    </row>
    <row r="257" spans="1:5" x14ac:dyDescent="0.25">
      <c r="A257" s="21" t="s">
        <v>469</v>
      </c>
      <c r="B257" s="22" t="s">
        <v>471</v>
      </c>
      <c r="C257" s="38">
        <v>745</v>
      </c>
      <c r="D257" s="22" t="s">
        <v>109</v>
      </c>
      <c r="E257" s="22" t="s">
        <v>20</v>
      </c>
    </row>
    <row r="258" spans="1:5" x14ac:dyDescent="0.25">
      <c r="A258" s="21" t="s">
        <v>469</v>
      </c>
      <c r="B258" s="22" t="s">
        <v>472</v>
      </c>
      <c r="C258" s="38">
        <v>560</v>
      </c>
      <c r="D258" s="22" t="s">
        <v>109</v>
      </c>
      <c r="E258" s="22" t="s">
        <v>20</v>
      </c>
    </row>
    <row r="259" spans="1:5" x14ac:dyDescent="0.25">
      <c r="A259" s="21" t="s">
        <v>469</v>
      </c>
      <c r="B259" s="22" t="s">
        <v>473</v>
      </c>
      <c r="C259" s="38">
        <v>190</v>
      </c>
      <c r="D259" s="22" t="s">
        <v>105</v>
      </c>
      <c r="E259" s="22" t="s">
        <v>20</v>
      </c>
    </row>
    <row r="260" spans="1:5" x14ac:dyDescent="0.25">
      <c r="A260" s="21" t="s">
        <v>488</v>
      </c>
      <c r="B260" s="22" t="s">
        <v>498</v>
      </c>
      <c r="C260" s="38">
        <v>586</v>
      </c>
      <c r="D260" s="22" t="s">
        <v>109</v>
      </c>
      <c r="E260" s="22" t="s">
        <v>20</v>
      </c>
    </row>
    <row r="261" spans="1:5" x14ac:dyDescent="0.25">
      <c r="A261" s="21" t="s">
        <v>502</v>
      </c>
      <c r="B261" s="22" t="s">
        <v>505</v>
      </c>
      <c r="C261" s="38">
        <v>500</v>
      </c>
      <c r="D261" s="22" t="s">
        <v>101</v>
      </c>
      <c r="E261" s="22" t="s">
        <v>20</v>
      </c>
    </row>
    <row r="262" spans="1:5" x14ac:dyDescent="0.25">
      <c r="A262" s="21" t="s">
        <v>502</v>
      </c>
      <c r="B262" s="22" t="s">
        <v>506</v>
      </c>
      <c r="C262" s="38">
        <v>1200</v>
      </c>
      <c r="D262" s="22" t="s">
        <v>109</v>
      </c>
      <c r="E262" s="22" t="s">
        <v>20</v>
      </c>
    </row>
    <row r="263" spans="1:5" x14ac:dyDescent="0.25">
      <c r="A263" s="21" t="s">
        <v>502</v>
      </c>
      <c r="B263" s="22" t="s">
        <v>507</v>
      </c>
      <c r="C263" s="38">
        <v>260</v>
      </c>
      <c r="D263" s="22" t="s">
        <v>102</v>
      </c>
      <c r="E263" s="22" t="s">
        <v>20</v>
      </c>
    </row>
    <row r="264" spans="1:5" x14ac:dyDescent="0.25">
      <c r="A264" s="21" t="s">
        <v>502</v>
      </c>
      <c r="B264" s="22" t="s">
        <v>508</v>
      </c>
      <c r="C264" s="38">
        <v>120</v>
      </c>
      <c r="D264" s="22" t="s">
        <v>102</v>
      </c>
      <c r="E264" s="22" t="s">
        <v>20</v>
      </c>
    </row>
    <row r="265" spans="1:5" x14ac:dyDescent="0.25">
      <c r="A265" s="21" t="s">
        <v>502</v>
      </c>
      <c r="B265" s="22" t="s">
        <v>509</v>
      </c>
      <c r="C265" s="38">
        <v>320</v>
      </c>
      <c r="D265" s="22" t="s">
        <v>111</v>
      </c>
      <c r="E265" s="22" t="s">
        <v>20</v>
      </c>
    </row>
    <row r="266" spans="1:5" x14ac:dyDescent="0.25">
      <c r="A266" s="21" t="s">
        <v>510</v>
      </c>
      <c r="B266" s="22" t="s">
        <v>511</v>
      </c>
      <c r="C266" s="38">
        <v>100</v>
      </c>
      <c r="D266" s="22" t="s">
        <v>109</v>
      </c>
      <c r="E266" s="22" t="s">
        <v>20</v>
      </c>
    </row>
    <row r="267" spans="1:5" x14ac:dyDescent="0.25">
      <c r="A267" s="21" t="s">
        <v>510</v>
      </c>
      <c r="B267" s="22" t="s">
        <v>177</v>
      </c>
      <c r="C267" s="38">
        <v>130</v>
      </c>
      <c r="D267" s="22" t="s">
        <v>111</v>
      </c>
      <c r="E267" s="22" t="s">
        <v>20</v>
      </c>
    </row>
    <row r="268" spans="1:5" x14ac:dyDescent="0.25">
      <c r="A268" s="21" t="s">
        <v>512</v>
      </c>
      <c r="B268" s="22" t="s">
        <v>513</v>
      </c>
      <c r="C268" s="38">
        <v>140</v>
      </c>
      <c r="D268" s="22" t="s">
        <v>109</v>
      </c>
      <c r="E268" s="22" t="s">
        <v>20</v>
      </c>
    </row>
    <row r="269" spans="1:5" x14ac:dyDescent="0.25">
      <c r="A269" s="21" t="s">
        <v>514</v>
      </c>
      <c r="B269" s="22" t="s">
        <v>515</v>
      </c>
      <c r="C269" s="38">
        <v>6543</v>
      </c>
      <c r="D269" s="22" t="s">
        <v>112</v>
      </c>
      <c r="E269" s="22" t="s">
        <v>20</v>
      </c>
    </row>
    <row r="270" spans="1:5" x14ac:dyDescent="0.25">
      <c r="A270" s="21" t="s">
        <v>514</v>
      </c>
      <c r="B270" s="22" t="s">
        <v>163</v>
      </c>
      <c r="C270" s="38">
        <v>257</v>
      </c>
      <c r="D270" s="22" t="s">
        <v>102</v>
      </c>
      <c r="E270" s="22" t="s">
        <v>20</v>
      </c>
    </row>
    <row r="271" spans="1:5" x14ac:dyDescent="0.25">
      <c r="A271" s="21" t="s">
        <v>516</v>
      </c>
      <c r="B271" s="22" t="s">
        <v>440</v>
      </c>
      <c r="C271" s="38">
        <v>200</v>
      </c>
      <c r="D271" s="22" t="s">
        <v>111</v>
      </c>
      <c r="E271" s="22" t="s">
        <v>20</v>
      </c>
    </row>
    <row r="272" spans="1:5" x14ac:dyDescent="0.25">
      <c r="A272" s="21" t="s">
        <v>517</v>
      </c>
      <c r="B272" s="22" t="s">
        <v>518</v>
      </c>
      <c r="C272" s="38">
        <v>380</v>
      </c>
      <c r="D272" s="22" t="s">
        <v>102</v>
      </c>
      <c r="E272" s="22" t="s">
        <v>20</v>
      </c>
    </row>
    <row r="273" spans="1:5" x14ac:dyDescent="0.25">
      <c r="A273" s="21" t="s">
        <v>517</v>
      </c>
      <c r="B273" s="22" t="s">
        <v>519</v>
      </c>
      <c r="C273" s="38">
        <v>280</v>
      </c>
      <c r="D273" s="22" t="s">
        <v>102</v>
      </c>
      <c r="E273" s="22" t="s">
        <v>20</v>
      </c>
    </row>
    <row r="274" spans="1:5" x14ac:dyDescent="0.25">
      <c r="A274" s="21" t="s">
        <v>520</v>
      </c>
      <c r="B274" s="22" t="s">
        <v>521</v>
      </c>
      <c r="C274" s="38">
        <v>426</v>
      </c>
      <c r="D274" s="22" t="s">
        <v>111</v>
      </c>
      <c r="E274" s="22" t="s">
        <v>20</v>
      </c>
    </row>
    <row r="275" spans="1:5" x14ac:dyDescent="0.25">
      <c r="A275" s="21" t="s">
        <v>520</v>
      </c>
      <c r="B275" s="22" t="s">
        <v>195</v>
      </c>
      <c r="C275" s="38">
        <v>700</v>
      </c>
      <c r="D275" s="22" t="s">
        <v>107</v>
      </c>
      <c r="E275" s="22" t="s">
        <v>20</v>
      </c>
    </row>
    <row r="276" spans="1:5" x14ac:dyDescent="0.25">
      <c r="A276" s="21" t="s">
        <v>19</v>
      </c>
      <c r="B276" s="22" t="s">
        <v>522</v>
      </c>
      <c r="C276" s="42">
        <v>2760</v>
      </c>
      <c r="D276" s="22" t="s">
        <v>99</v>
      </c>
      <c r="E276" s="22" t="s">
        <v>14</v>
      </c>
    </row>
    <row r="277" spans="1:5" x14ac:dyDescent="0.25">
      <c r="A277" s="21" t="s">
        <v>523</v>
      </c>
      <c r="B277" s="22" t="s">
        <v>524</v>
      </c>
      <c r="C277" s="42">
        <v>210</v>
      </c>
      <c r="D277" s="22" t="s">
        <v>111</v>
      </c>
      <c r="E277" s="22" t="s">
        <v>14</v>
      </c>
    </row>
    <row r="278" spans="1:5" x14ac:dyDescent="0.25">
      <c r="A278" s="21" t="s">
        <v>523</v>
      </c>
      <c r="B278" s="22" t="s">
        <v>525</v>
      </c>
      <c r="C278" s="42">
        <v>220</v>
      </c>
      <c r="D278" s="22" t="s">
        <v>102</v>
      </c>
      <c r="E278" s="22" t="s">
        <v>14</v>
      </c>
    </row>
    <row r="279" spans="1:5" x14ac:dyDescent="0.25">
      <c r="A279" s="21" t="s">
        <v>523</v>
      </c>
      <c r="B279" s="22" t="s">
        <v>526</v>
      </c>
      <c r="C279" s="42">
        <v>990</v>
      </c>
      <c r="D279" s="22" t="s">
        <v>111</v>
      </c>
      <c r="E279" s="22" t="s">
        <v>14</v>
      </c>
    </row>
    <row r="280" spans="1:5" x14ac:dyDescent="0.25">
      <c r="A280" s="21" t="s">
        <v>16</v>
      </c>
      <c r="B280" s="22" t="s">
        <v>270</v>
      </c>
      <c r="C280" s="42">
        <v>6500</v>
      </c>
      <c r="D280" s="22" t="s">
        <v>106</v>
      </c>
      <c r="E280" s="22" t="s">
        <v>14</v>
      </c>
    </row>
    <row r="281" spans="1:5" x14ac:dyDescent="0.25">
      <c r="A281" s="21" t="s">
        <v>16</v>
      </c>
      <c r="B281" s="22" t="s">
        <v>527</v>
      </c>
      <c r="C281" s="42">
        <v>100</v>
      </c>
      <c r="D281" s="22" t="s">
        <v>104</v>
      </c>
      <c r="E281" s="22" t="s">
        <v>14</v>
      </c>
    </row>
    <row r="282" spans="1:5" x14ac:dyDescent="0.25">
      <c r="A282" s="21" t="s">
        <v>16</v>
      </c>
      <c r="B282" s="22" t="s">
        <v>194</v>
      </c>
      <c r="C282" s="42">
        <v>1490</v>
      </c>
      <c r="D282" s="22" t="s">
        <v>107</v>
      </c>
      <c r="E282" s="22" t="s">
        <v>14</v>
      </c>
    </row>
    <row r="283" spans="1:5" x14ac:dyDescent="0.25">
      <c r="A283" s="21" t="s">
        <v>16</v>
      </c>
      <c r="B283" s="22" t="s">
        <v>528</v>
      </c>
      <c r="C283" s="42">
        <v>19200</v>
      </c>
      <c r="D283" s="22" t="s">
        <v>103</v>
      </c>
      <c r="E283" s="22" t="s">
        <v>14</v>
      </c>
    </row>
    <row r="284" spans="1:5" x14ac:dyDescent="0.25">
      <c r="A284" s="21" t="s">
        <v>529</v>
      </c>
      <c r="B284" s="22" t="s">
        <v>530</v>
      </c>
      <c r="C284" s="42">
        <v>162</v>
      </c>
      <c r="D284" s="22" t="s">
        <v>109</v>
      </c>
      <c r="E284" s="22" t="s">
        <v>14</v>
      </c>
    </row>
    <row r="285" spans="1:5" x14ac:dyDescent="0.25">
      <c r="A285" s="21" t="s">
        <v>529</v>
      </c>
      <c r="B285" s="22" t="s">
        <v>445</v>
      </c>
      <c r="C285" s="42">
        <v>226</v>
      </c>
      <c r="D285" s="22" t="s">
        <v>102</v>
      </c>
      <c r="E285" s="22" t="s">
        <v>14</v>
      </c>
    </row>
    <row r="286" spans="1:5" x14ac:dyDescent="0.25">
      <c r="A286" s="21" t="s">
        <v>529</v>
      </c>
      <c r="B286" s="22" t="s">
        <v>531</v>
      </c>
      <c r="C286" s="42">
        <v>829</v>
      </c>
      <c r="D286" s="22" t="s">
        <v>102</v>
      </c>
      <c r="E286" s="22" t="s">
        <v>14</v>
      </c>
    </row>
    <row r="287" spans="1:5" x14ac:dyDescent="0.25">
      <c r="A287" s="21" t="s">
        <v>529</v>
      </c>
      <c r="B287" s="22" t="s">
        <v>208</v>
      </c>
      <c r="C287" s="42">
        <v>100</v>
      </c>
      <c r="D287" s="22" t="s">
        <v>111</v>
      </c>
      <c r="E287" s="22" t="s">
        <v>14</v>
      </c>
    </row>
    <row r="288" spans="1:5" x14ac:dyDescent="0.25">
      <c r="A288" s="21" t="s">
        <v>532</v>
      </c>
      <c r="B288" s="22" t="s">
        <v>445</v>
      </c>
      <c r="C288" s="42">
        <v>621</v>
      </c>
      <c r="D288" s="22" t="s">
        <v>102</v>
      </c>
      <c r="E288" s="22" t="s">
        <v>14</v>
      </c>
    </row>
    <row r="289" spans="1:5" x14ac:dyDescent="0.25">
      <c r="A289" s="21" t="s">
        <v>532</v>
      </c>
      <c r="B289" s="22" t="s">
        <v>533</v>
      </c>
      <c r="C289" s="42">
        <v>230</v>
      </c>
      <c r="D289" s="22" t="s">
        <v>105</v>
      </c>
      <c r="E289" s="22" t="s">
        <v>14</v>
      </c>
    </row>
    <row r="290" spans="1:5" x14ac:dyDescent="0.25">
      <c r="A290" s="21" t="s">
        <v>534</v>
      </c>
      <c r="B290" s="22" t="s">
        <v>535</v>
      </c>
      <c r="C290" s="42">
        <v>459</v>
      </c>
      <c r="D290" s="22" t="s">
        <v>102</v>
      </c>
      <c r="E290" s="22" t="s">
        <v>14</v>
      </c>
    </row>
    <row r="291" spans="1:5" x14ac:dyDescent="0.25">
      <c r="A291" s="21" t="s">
        <v>534</v>
      </c>
      <c r="B291" s="22" t="s">
        <v>536</v>
      </c>
      <c r="C291" s="42">
        <v>2596</v>
      </c>
      <c r="D291" s="22" t="s">
        <v>109</v>
      </c>
      <c r="E291" s="22" t="s">
        <v>14</v>
      </c>
    </row>
    <row r="292" spans="1:5" x14ac:dyDescent="0.25">
      <c r="A292" s="21" t="s">
        <v>534</v>
      </c>
      <c r="B292" s="22" t="s">
        <v>445</v>
      </c>
      <c r="C292" s="42">
        <v>119</v>
      </c>
      <c r="D292" s="22" t="s">
        <v>102</v>
      </c>
      <c r="E292" s="22" t="s">
        <v>14</v>
      </c>
    </row>
    <row r="293" spans="1:5" x14ac:dyDescent="0.25">
      <c r="A293" s="21" t="s">
        <v>534</v>
      </c>
      <c r="B293" s="22" t="s">
        <v>537</v>
      </c>
      <c r="C293" s="42">
        <v>287</v>
      </c>
      <c r="D293" s="22" t="s">
        <v>109</v>
      </c>
      <c r="E293" s="22" t="s">
        <v>14</v>
      </c>
    </row>
    <row r="294" spans="1:5" x14ac:dyDescent="0.25">
      <c r="A294" s="21" t="s">
        <v>538</v>
      </c>
      <c r="B294" s="22" t="s">
        <v>177</v>
      </c>
      <c r="C294" s="42">
        <v>290</v>
      </c>
      <c r="D294" s="22" t="s">
        <v>111</v>
      </c>
      <c r="E294" s="22" t="s">
        <v>14</v>
      </c>
    </row>
    <row r="295" spans="1:5" x14ac:dyDescent="0.25">
      <c r="A295" s="21" t="s">
        <v>538</v>
      </c>
      <c r="B295" s="22" t="s">
        <v>539</v>
      </c>
      <c r="C295" s="42">
        <v>502</v>
      </c>
      <c r="D295" s="22" t="s">
        <v>102</v>
      </c>
      <c r="E295" s="22" t="s">
        <v>14</v>
      </c>
    </row>
    <row r="296" spans="1:5" x14ac:dyDescent="0.25">
      <c r="A296" s="21" t="s">
        <v>538</v>
      </c>
      <c r="B296" s="22" t="s">
        <v>540</v>
      </c>
      <c r="C296" s="42">
        <v>100</v>
      </c>
      <c r="D296" s="22" t="s">
        <v>111</v>
      </c>
      <c r="E296" s="22" t="s">
        <v>14</v>
      </c>
    </row>
    <row r="297" spans="1:5" x14ac:dyDescent="0.25">
      <c r="A297" s="21" t="s">
        <v>541</v>
      </c>
      <c r="B297" s="22" t="s">
        <v>163</v>
      </c>
      <c r="C297" s="42">
        <v>276</v>
      </c>
      <c r="D297" s="22" t="s">
        <v>102</v>
      </c>
      <c r="E297" s="22" t="s">
        <v>14</v>
      </c>
    </row>
    <row r="298" spans="1:5" x14ac:dyDescent="0.25">
      <c r="A298" s="21" t="s">
        <v>542</v>
      </c>
      <c r="B298" s="22" t="s">
        <v>543</v>
      </c>
      <c r="C298" s="42">
        <v>70</v>
      </c>
      <c r="D298" s="22" t="s">
        <v>102</v>
      </c>
      <c r="E298" s="22" t="s">
        <v>14</v>
      </c>
    </row>
    <row r="299" spans="1:5" x14ac:dyDescent="0.25">
      <c r="A299" s="21" t="s">
        <v>544</v>
      </c>
      <c r="B299" s="22" t="s">
        <v>545</v>
      </c>
      <c r="C299" s="42">
        <v>120</v>
      </c>
      <c r="D299" s="22" t="s">
        <v>111</v>
      </c>
      <c r="E299" s="22" t="s">
        <v>14</v>
      </c>
    </row>
    <row r="300" spans="1:5" x14ac:dyDescent="0.25">
      <c r="A300" s="21" t="s">
        <v>546</v>
      </c>
      <c r="B300" s="22" t="s">
        <v>547</v>
      </c>
      <c r="C300" s="42">
        <v>1191</v>
      </c>
      <c r="D300" s="22" t="s">
        <v>109</v>
      </c>
      <c r="E300" s="22" t="s">
        <v>14</v>
      </c>
    </row>
    <row r="301" spans="1:5" x14ac:dyDescent="0.25">
      <c r="A301" s="21" t="s">
        <v>548</v>
      </c>
      <c r="B301" s="22" t="s">
        <v>549</v>
      </c>
      <c r="C301" s="42">
        <v>5666.24</v>
      </c>
      <c r="D301" s="22" t="s">
        <v>102</v>
      </c>
      <c r="E301" s="22" t="s">
        <v>14</v>
      </c>
    </row>
    <row r="302" spans="1:5" x14ac:dyDescent="0.25">
      <c r="A302" s="21" t="s">
        <v>548</v>
      </c>
      <c r="B302" s="22" t="s">
        <v>550</v>
      </c>
      <c r="C302" s="42">
        <v>75</v>
      </c>
      <c r="D302" s="22" t="s">
        <v>109</v>
      </c>
      <c r="E302" s="22" t="s">
        <v>14</v>
      </c>
    </row>
    <row r="303" spans="1:5" x14ac:dyDescent="0.25">
      <c r="A303" s="21" t="s">
        <v>548</v>
      </c>
      <c r="B303" s="22" t="s">
        <v>551</v>
      </c>
      <c r="C303" s="42">
        <v>331</v>
      </c>
      <c r="D303" s="22" t="s">
        <v>101</v>
      </c>
      <c r="E303" s="22" t="s">
        <v>14</v>
      </c>
    </row>
    <row r="304" spans="1:5" x14ac:dyDescent="0.25">
      <c r="A304" s="21" t="s">
        <v>548</v>
      </c>
      <c r="B304" s="22" t="s">
        <v>552</v>
      </c>
      <c r="C304" s="42">
        <v>87</v>
      </c>
      <c r="D304" s="22" t="s">
        <v>102</v>
      </c>
      <c r="E304" s="22" t="s">
        <v>14</v>
      </c>
    </row>
    <row r="305" spans="1:5" x14ac:dyDescent="0.25">
      <c r="A305" s="21" t="s">
        <v>548</v>
      </c>
      <c r="B305" s="22" t="s">
        <v>553</v>
      </c>
      <c r="C305" s="42">
        <v>95</v>
      </c>
      <c r="D305" s="22" t="s">
        <v>111</v>
      </c>
      <c r="E305" s="22" t="s">
        <v>14</v>
      </c>
    </row>
    <row r="306" spans="1:5" x14ac:dyDescent="0.25">
      <c r="A306" s="21" t="s">
        <v>548</v>
      </c>
      <c r="B306" s="22" t="s">
        <v>554</v>
      </c>
      <c r="C306" s="42">
        <v>1000</v>
      </c>
      <c r="D306" s="22" t="s">
        <v>106</v>
      </c>
      <c r="E306" s="22" t="s">
        <v>14</v>
      </c>
    </row>
    <row r="307" spans="1:5" x14ac:dyDescent="0.25">
      <c r="A307" s="21" t="s">
        <v>548</v>
      </c>
      <c r="B307" s="22" t="s">
        <v>224</v>
      </c>
      <c r="C307" s="42">
        <v>300</v>
      </c>
      <c r="D307" s="22" t="s">
        <v>111</v>
      </c>
      <c r="E307" s="22" t="s">
        <v>14</v>
      </c>
    </row>
    <row r="308" spans="1:5" x14ac:dyDescent="0.25">
      <c r="A308" s="21" t="s">
        <v>548</v>
      </c>
      <c r="B308" s="22" t="s">
        <v>555</v>
      </c>
      <c r="C308" s="42">
        <v>200</v>
      </c>
      <c r="D308" s="22" t="s">
        <v>109</v>
      </c>
      <c r="E308" s="22" t="s">
        <v>14</v>
      </c>
    </row>
    <row r="309" spans="1:5" x14ac:dyDescent="0.25">
      <c r="A309" s="21" t="s">
        <v>556</v>
      </c>
      <c r="B309" s="22" t="s">
        <v>530</v>
      </c>
      <c r="C309" s="42">
        <v>60</v>
      </c>
      <c r="D309" s="22" t="s">
        <v>109</v>
      </c>
      <c r="E309" s="22" t="s">
        <v>14</v>
      </c>
    </row>
    <row r="310" spans="1:5" x14ac:dyDescent="0.25">
      <c r="A310" s="21" t="s">
        <v>557</v>
      </c>
      <c r="B310" s="22" t="s">
        <v>558</v>
      </c>
      <c r="C310" s="42">
        <v>235</v>
      </c>
      <c r="D310" s="22" t="s">
        <v>109</v>
      </c>
      <c r="E310" s="22" t="s">
        <v>14</v>
      </c>
    </row>
    <row r="311" spans="1:5" x14ac:dyDescent="0.25">
      <c r="A311" s="21" t="s">
        <v>557</v>
      </c>
      <c r="B311" s="22" t="s">
        <v>237</v>
      </c>
      <c r="C311" s="42">
        <v>42</v>
      </c>
      <c r="D311" s="22" t="s">
        <v>109</v>
      </c>
      <c r="E311" s="22" t="s">
        <v>14</v>
      </c>
    </row>
    <row r="312" spans="1:5" x14ac:dyDescent="0.25">
      <c r="A312" s="21" t="s">
        <v>559</v>
      </c>
      <c r="B312" s="22" t="s">
        <v>553</v>
      </c>
      <c r="C312" s="42">
        <v>240</v>
      </c>
      <c r="D312" s="22" t="s">
        <v>111</v>
      </c>
      <c r="E312" s="22" t="s">
        <v>14</v>
      </c>
    </row>
    <row r="313" spans="1:5" x14ac:dyDescent="0.25">
      <c r="A313" s="21" t="s">
        <v>559</v>
      </c>
      <c r="B313" s="22" t="s">
        <v>268</v>
      </c>
      <c r="C313" s="42">
        <v>20</v>
      </c>
      <c r="D313" s="22" t="s">
        <v>109</v>
      </c>
      <c r="E313" s="22" t="s">
        <v>14</v>
      </c>
    </row>
    <row r="314" spans="1:5" x14ac:dyDescent="0.25">
      <c r="A314" s="21" t="s">
        <v>560</v>
      </c>
      <c r="B314" s="22" t="s">
        <v>192</v>
      </c>
      <c r="C314" s="42">
        <v>262</v>
      </c>
      <c r="D314" s="22" t="s">
        <v>111</v>
      </c>
      <c r="E314" s="22" t="s">
        <v>14</v>
      </c>
    </row>
    <row r="315" spans="1:5" x14ac:dyDescent="0.25">
      <c r="A315" s="21" t="s">
        <v>560</v>
      </c>
      <c r="B315" s="22" t="s">
        <v>561</v>
      </c>
      <c r="C315" s="42">
        <v>60</v>
      </c>
      <c r="D315" s="22" t="s">
        <v>111</v>
      </c>
      <c r="E315" s="22" t="s">
        <v>14</v>
      </c>
    </row>
    <row r="316" spans="1:5" x14ac:dyDescent="0.25">
      <c r="A316" s="21" t="s">
        <v>560</v>
      </c>
      <c r="B316" s="22" t="s">
        <v>562</v>
      </c>
      <c r="C316" s="42">
        <v>92</v>
      </c>
      <c r="D316" s="22" t="s">
        <v>102</v>
      </c>
      <c r="E316" s="22" t="s">
        <v>14</v>
      </c>
    </row>
    <row r="317" spans="1:5" x14ac:dyDescent="0.25">
      <c r="A317" s="21" t="s">
        <v>563</v>
      </c>
      <c r="B317" s="22" t="s">
        <v>564</v>
      </c>
      <c r="C317" s="42">
        <v>660</v>
      </c>
      <c r="D317" s="22" t="s">
        <v>104</v>
      </c>
      <c r="E317" s="22" t="s">
        <v>14</v>
      </c>
    </row>
    <row r="318" spans="1:5" x14ac:dyDescent="0.25">
      <c r="A318" s="21" t="s">
        <v>563</v>
      </c>
      <c r="B318" s="22" t="s">
        <v>565</v>
      </c>
      <c r="C318" s="42">
        <v>90</v>
      </c>
      <c r="D318" s="22" t="s">
        <v>109</v>
      </c>
      <c r="E318" s="22" t="s">
        <v>14</v>
      </c>
    </row>
    <row r="319" spans="1:5" x14ac:dyDescent="0.25">
      <c r="A319" s="21" t="s">
        <v>566</v>
      </c>
      <c r="B319" s="22" t="s">
        <v>567</v>
      </c>
      <c r="C319" s="42">
        <v>90</v>
      </c>
      <c r="D319" s="22" t="s">
        <v>102</v>
      </c>
      <c r="E319" s="22" t="s">
        <v>14</v>
      </c>
    </row>
    <row r="320" spans="1:5" x14ac:dyDescent="0.25">
      <c r="A320" s="21" t="s">
        <v>566</v>
      </c>
      <c r="B320" s="22" t="s">
        <v>568</v>
      </c>
      <c r="C320" s="42">
        <v>60</v>
      </c>
      <c r="D320" s="22" t="s">
        <v>109</v>
      </c>
      <c r="E320" s="22" t="s">
        <v>14</v>
      </c>
    </row>
    <row r="321" spans="1:5" x14ac:dyDescent="0.25">
      <c r="A321" s="21" t="s">
        <v>569</v>
      </c>
      <c r="B321" s="22" t="s">
        <v>570</v>
      </c>
      <c r="C321" s="42">
        <v>110</v>
      </c>
      <c r="D321" s="22" t="s">
        <v>111</v>
      </c>
      <c r="E321" s="22" t="s">
        <v>14</v>
      </c>
    </row>
    <row r="322" spans="1:5" x14ac:dyDescent="0.25">
      <c r="A322" s="21" t="s">
        <v>571</v>
      </c>
      <c r="B322" s="22" t="s">
        <v>195</v>
      </c>
      <c r="C322" s="42">
        <v>840</v>
      </c>
      <c r="D322" s="22" t="s">
        <v>107</v>
      </c>
      <c r="E322" s="22" t="s">
        <v>14</v>
      </c>
    </row>
    <row r="323" spans="1:5" x14ac:dyDescent="0.25">
      <c r="A323" s="21" t="s">
        <v>571</v>
      </c>
      <c r="B323" s="22" t="s">
        <v>572</v>
      </c>
      <c r="C323" s="42">
        <v>283</v>
      </c>
      <c r="D323" s="22" t="s">
        <v>102</v>
      </c>
      <c r="E323" s="22" t="s">
        <v>14</v>
      </c>
    </row>
    <row r="324" spans="1:5" x14ac:dyDescent="0.25">
      <c r="A324" s="21" t="s">
        <v>571</v>
      </c>
      <c r="B324" s="22" t="s">
        <v>573</v>
      </c>
      <c r="C324" s="42">
        <v>500</v>
      </c>
      <c r="D324" s="22" t="s">
        <v>109</v>
      </c>
      <c r="E324" s="22" t="s">
        <v>14</v>
      </c>
    </row>
    <row r="325" spans="1:5" x14ac:dyDescent="0.25">
      <c r="A325" s="24" t="s">
        <v>574</v>
      </c>
      <c r="B325" s="25" t="s">
        <v>109</v>
      </c>
      <c r="C325" s="26">
        <v>0</v>
      </c>
      <c r="D325" s="25" t="s">
        <v>109</v>
      </c>
      <c r="E325" s="25" t="s">
        <v>14</v>
      </c>
    </row>
    <row r="326" spans="1:5" x14ac:dyDescent="0.25">
      <c r="A326" s="24" t="s">
        <v>574</v>
      </c>
      <c r="B326" s="25" t="s">
        <v>109</v>
      </c>
      <c r="C326" s="26">
        <v>0</v>
      </c>
      <c r="D326" s="25" t="s">
        <v>109</v>
      </c>
      <c r="E326" s="25" t="s">
        <v>14</v>
      </c>
    </row>
    <row r="327" spans="1:5" x14ac:dyDescent="0.25">
      <c r="A327" s="21" t="s">
        <v>574</v>
      </c>
      <c r="B327" s="22" t="s">
        <v>192</v>
      </c>
      <c r="C327" s="42">
        <v>440</v>
      </c>
      <c r="D327" s="22" t="s">
        <v>111</v>
      </c>
      <c r="E327" s="22" t="s">
        <v>14</v>
      </c>
    </row>
    <row r="328" spans="1:5" x14ac:dyDescent="0.25">
      <c r="A328" s="21" t="s">
        <v>13</v>
      </c>
      <c r="B328" s="22" t="s">
        <v>575</v>
      </c>
      <c r="C328" s="23">
        <v>231</v>
      </c>
      <c r="D328" s="22" t="s">
        <v>102</v>
      </c>
      <c r="E328" s="22" t="s">
        <v>8</v>
      </c>
    </row>
    <row r="329" spans="1:5" x14ac:dyDescent="0.25">
      <c r="A329" s="21" t="s">
        <v>13</v>
      </c>
      <c r="B329" s="22" t="s">
        <v>576</v>
      </c>
      <c r="C329" s="23">
        <v>3750</v>
      </c>
      <c r="D329" s="22" t="s">
        <v>99</v>
      </c>
      <c r="E329" s="22" t="s">
        <v>8</v>
      </c>
    </row>
    <row r="330" spans="1:5" x14ac:dyDescent="0.25">
      <c r="A330" s="21" t="s">
        <v>13</v>
      </c>
      <c r="B330" s="22" t="s">
        <v>577</v>
      </c>
      <c r="C330" s="23">
        <v>480</v>
      </c>
      <c r="D330" s="22" t="s">
        <v>111</v>
      </c>
      <c r="E330" s="22" t="s">
        <v>8</v>
      </c>
    </row>
    <row r="331" spans="1:5" x14ac:dyDescent="0.25">
      <c r="A331" s="21" t="s">
        <v>578</v>
      </c>
      <c r="B331" s="22" t="s">
        <v>284</v>
      </c>
      <c r="C331" s="23">
        <v>110</v>
      </c>
      <c r="D331" s="22" t="s">
        <v>105</v>
      </c>
      <c r="E331" s="22" t="s">
        <v>8</v>
      </c>
    </row>
    <row r="332" spans="1:5" x14ac:dyDescent="0.25">
      <c r="A332" s="21" t="s">
        <v>578</v>
      </c>
      <c r="B332" s="22" t="s">
        <v>579</v>
      </c>
      <c r="C332" s="23">
        <v>320</v>
      </c>
      <c r="D332" s="22" t="s">
        <v>111</v>
      </c>
      <c r="E332" s="22" t="s">
        <v>8</v>
      </c>
    </row>
    <row r="333" spans="1:5" x14ac:dyDescent="0.25">
      <c r="A333" s="21" t="s">
        <v>578</v>
      </c>
      <c r="B333" s="22" t="s">
        <v>224</v>
      </c>
      <c r="C333" s="23">
        <v>130</v>
      </c>
      <c r="D333" s="22" t="s">
        <v>111</v>
      </c>
      <c r="E333" s="22" t="s">
        <v>8</v>
      </c>
    </row>
    <row r="334" spans="1:5" x14ac:dyDescent="0.25">
      <c r="A334" s="21" t="s">
        <v>580</v>
      </c>
      <c r="B334" s="22" t="s">
        <v>581</v>
      </c>
      <c r="C334" s="23">
        <v>1164</v>
      </c>
      <c r="D334" s="22" t="s">
        <v>100</v>
      </c>
      <c r="E334" s="22" t="s">
        <v>8</v>
      </c>
    </row>
    <row r="335" spans="1:5" x14ac:dyDescent="0.25">
      <c r="A335" s="21" t="s">
        <v>580</v>
      </c>
      <c r="B335" s="22" t="s">
        <v>259</v>
      </c>
      <c r="C335" s="23">
        <v>350</v>
      </c>
      <c r="D335" s="22" t="s">
        <v>109</v>
      </c>
      <c r="E335" s="22" t="s">
        <v>8</v>
      </c>
    </row>
    <row r="336" spans="1:5" x14ac:dyDescent="0.25">
      <c r="A336" s="21" t="s">
        <v>580</v>
      </c>
      <c r="B336" s="22" t="s">
        <v>582</v>
      </c>
      <c r="C336" s="23">
        <v>245</v>
      </c>
      <c r="D336" s="22" t="s">
        <v>102</v>
      </c>
      <c r="E336" s="22" t="s">
        <v>8</v>
      </c>
    </row>
    <row r="337" spans="1:5" x14ac:dyDescent="0.25">
      <c r="A337" s="21" t="s">
        <v>580</v>
      </c>
      <c r="B337" s="22" t="s">
        <v>583</v>
      </c>
      <c r="C337" s="23">
        <v>35</v>
      </c>
      <c r="D337" s="22" t="s">
        <v>111</v>
      </c>
      <c r="E337" s="22" t="s">
        <v>8</v>
      </c>
    </row>
    <row r="338" spans="1:5" x14ac:dyDescent="0.25">
      <c r="A338" s="21" t="s">
        <v>580</v>
      </c>
      <c r="B338" s="22" t="s">
        <v>584</v>
      </c>
      <c r="C338" s="23">
        <v>35</v>
      </c>
      <c r="D338" s="22" t="s">
        <v>102</v>
      </c>
      <c r="E338" s="22" t="s">
        <v>8</v>
      </c>
    </row>
    <row r="339" spans="1:5" x14ac:dyDescent="0.25">
      <c r="A339" s="21" t="s">
        <v>580</v>
      </c>
      <c r="B339" s="22" t="s">
        <v>585</v>
      </c>
      <c r="C339" s="23">
        <v>170</v>
      </c>
      <c r="D339" s="22" t="s">
        <v>102</v>
      </c>
      <c r="E339" s="22" t="s">
        <v>8</v>
      </c>
    </row>
    <row r="340" spans="1:5" x14ac:dyDescent="0.25">
      <c r="A340" s="21" t="s">
        <v>586</v>
      </c>
      <c r="B340" s="22" t="s">
        <v>587</v>
      </c>
      <c r="C340" s="23">
        <v>740</v>
      </c>
      <c r="D340" s="22" t="s">
        <v>109</v>
      </c>
      <c r="E340" s="22" t="s">
        <v>8</v>
      </c>
    </row>
    <row r="341" spans="1:5" x14ac:dyDescent="0.25">
      <c r="A341" s="21" t="s">
        <v>586</v>
      </c>
      <c r="B341" s="22" t="s">
        <v>588</v>
      </c>
      <c r="C341" s="23">
        <v>1200</v>
      </c>
      <c r="D341" s="22" t="s">
        <v>109</v>
      </c>
      <c r="E341" s="22" t="s">
        <v>8</v>
      </c>
    </row>
    <row r="342" spans="1:5" x14ac:dyDescent="0.25">
      <c r="A342" s="21" t="s">
        <v>586</v>
      </c>
      <c r="B342" s="22" t="s">
        <v>177</v>
      </c>
      <c r="C342" s="23">
        <v>280</v>
      </c>
      <c r="D342" s="22" t="s">
        <v>111</v>
      </c>
      <c r="E342" s="22" t="s">
        <v>8</v>
      </c>
    </row>
    <row r="343" spans="1:5" x14ac:dyDescent="0.25">
      <c r="A343" s="21" t="s">
        <v>10</v>
      </c>
      <c r="B343" s="22" t="s">
        <v>589</v>
      </c>
      <c r="C343" s="23">
        <v>158</v>
      </c>
      <c r="D343" s="22" t="s">
        <v>102</v>
      </c>
      <c r="E343" s="22" t="s">
        <v>8</v>
      </c>
    </row>
    <row r="344" spans="1:5" x14ac:dyDescent="0.25">
      <c r="A344" s="21" t="s">
        <v>10</v>
      </c>
      <c r="B344" s="22" t="s">
        <v>590</v>
      </c>
      <c r="C344" s="23">
        <v>140</v>
      </c>
      <c r="D344" s="22" t="s">
        <v>102</v>
      </c>
      <c r="E344" s="22" t="s">
        <v>8</v>
      </c>
    </row>
    <row r="345" spans="1:5" x14ac:dyDescent="0.25">
      <c r="A345" s="21" t="s">
        <v>10</v>
      </c>
      <c r="B345" s="22" t="s">
        <v>591</v>
      </c>
      <c r="C345" s="23">
        <v>55</v>
      </c>
      <c r="D345" s="22" t="s">
        <v>102</v>
      </c>
      <c r="E345" s="22" t="s">
        <v>8</v>
      </c>
    </row>
    <row r="346" spans="1:5" x14ac:dyDescent="0.25">
      <c r="A346" s="21" t="s">
        <v>10</v>
      </c>
      <c r="B346" s="22" t="s">
        <v>270</v>
      </c>
      <c r="C346" s="23">
        <v>6500</v>
      </c>
      <c r="D346" s="22" t="s">
        <v>106</v>
      </c>
      <c r="E346" s="22" t="s">
        <v>8</v>
      </c>
    </row>
    <row r="347" spans="1:5" x14ac:dyDescent="0.25">
      <c r="A347" s="21" t="s">
        <v>592</v>
      </c>
      <c r="B347" s="22" t="s">
        <v>593</v>
      </c>
      <c r="C347" s="23">
        <v>19200</v>
      </c>
      <c r="D347" s="22" t="s">
        <v>103</v>
      </c>
      <c r="E347" s="22" t="s">
        <v>8</v>
      </c>
    </row>
    <row r="348" spans="1:5" x14ac:dyDescent="0.25">
      <c r="A348" s="21" t="s">
        <v>592</v>
      </c>
      <c r="B348" s="22" t="s">
        <v>594</v>
      </c>
      <c r="C348" s="23">
        <v>11700</v>
      </c>
      <c r="D348" s="22" t="s">
        <v>197</v>
      </c>
      <c r="E348" s="22" t="s">
        <v>8</v>
      </c>
    </row>
    <row r="349" spans="1:5" x14ac:dyDescent="0.25">
      <c r="A349" s="21" t="s">
        <v>592</v>
      </c>
      <c r="B349" s="22" t="s">
        <v>595</v>
      </c>
      <c r="C349" s="23">
        <v>2270</v>
      </c>
      <c r="D349" s="22" t="s">
        <v>107</v>
      </c>
      <c r="E349" s="22" t="s">
        <v>8</v>
      </c>
    </row>
    <row r="350" spans="1:5" x14ac:dyDescent="0.25">
      <c r="A350" s="21" t="s">
        <v>596</v>
      </c>
      <c r="B350" s="22" t="s">
        <v>597</v>
      </c>
      <c r="C350" s="23">
        <v>240</v>
      </c>
      <c r="D350" s="22" t="s">
        <v>111</v>
      </c>
      <c r="E350" s="22" t="s">
        <v>8</v>
      </c>
    </row>
    <row r="351" spans="1:5" x14ac:dyDescent="0.25">
      <c r="A351" s="21" t="s">
        <v>596</v>
      </c>
      <c r="B351" s="22" t="s">
        <v>598</v>
      </c>
      <c r="C351" s="23">
        <v>882</v>
      </c>
      <c r="D351" s="22" t="s">
        <v>102</v>
      </c>
      <c r="E351" s="22" t="s">
        <v>8</v>
      </c>
    </row>
    <row r="352" spans="1:5" x14ac:dyDescent="0.25">
      <c r="A352" s="21" t="s">
        <v>599</v>
      </c>
      <c r="B352" s="22" t="s">
        <v>552</v>
      </c>
      <c r="C352" s="23">
        <v>127</v>
      </c>
      <c r="D352" s="22" t="s">
        <v>102</v>
      </c>
      <c r="E352" s="22" t="s">
        <v>8</v>
      </c>
    </row>
    <row r="353" spans="1:5" x14ac:dyDescent="0.25">
      <c r="A353" s="21" t="s">
        <v>599</v>
      </c>
      <c r="B353" s="22" t="s">
        <v>600</v>
      </c>
      <c r="C353" s="23">
        <v>60</v>
      </c>
      <c r="D353" s="22" t="s">
        <v>111</v>
      </c>
      <c r="E353" s="22" t="s">
        <v>8</v>
      </c>
    </row>
    <row r="354" spans="1:5" x14ac:dyDescent="0.25">
      <c r="A354" s="21" t="s">
        <v>601</v>
      </c>
      <c r="B354" s="22" t="s">
        <v>602</v>
      </c>
      <c r="C354" s="23">
        <v>227</v>
      </c>
      <c r="D354" s="22" t="s">
        <v>109</v>
      </c>
      <c r="E354" s="22" t="s">
        <v>8</v>
      </c>
    </row>
    <row r="355" spans="1:5" x14ac:dyDescent="0.25">
      <c r="A355" s="21" t="s">
        <v>601</v>
      </c>
      <c r="B355" s="22" t="s">
        <v>603</v>
      </c>
      <c r="C355" s="23">
        <v>310</v>
      </c>
      <c r="D355" s="22" t="s">
        <v>111</v>
      </c>
      <c r="E355" s="22" t="s">
        <v>8</v>
      </c>
    </row>
    <row r="356" spans="1:5" x14ac:dyDescent="0.25">
      <c r="A356" s="21" t="s">
        <v>604</v>
      </c>
      <c r="B356" s="22" t="s">
        <v>605</v>
      </c>
      <c r="C356" s="23">
        <v>140</v>
      </c>
      <c r="D356" s="22" t="s">
        <v>109</v>
      </c>
      <c r="E356" s="22" t="s">
        <v>8</v>
      </c>
    </row>
    <row r="357" spans="1:5" x14ac:dyDescent="0.25">
      <c r="A357" s="21" t="s">
        <v>606</v>
      </c>
      <c r="B357" s="22" t="s">
        <v>128</v>
      </c>
      <c r="C357" s="23">
        <v>158</v>
      </c>
      <c r="D357" s="22" t="s">
        <v>109</v>
      </c>
      <c r="E357" s="22" t="s">
        <v>8</v>
      </c>
    </row>
    <row r="358" spans="1:5" x14ac:dyDescent="0.25">
      <c r="A358" s="21" t="s">
        <v>606</v>
      </c>
      <c r="B358" s="22" t="s">
        <v>284</v>
      </c>
      <c r="C358" s="23">
        <v>560</v>
      </c>
      <c r="D358" s="22" t="s">
        <v>105</v>
      </c>
      <c r="E358" s="22" t="s">
        <v>8</v>
      </c>
    </row>
    <row r="359" spans="1:5" x14ac:dyDescent="0.25">
      <c r="A359" s="21" t="s">
        <v>606</v>
      </c>
      <c r="B359" s="22" t="s">
        <v>607</v>
      </c>
      <c r="C359" s="23">
        <v>649</v>
      </c>
      <c r="D359" s="22" t="s">
        <v>109</v>
      </c>
      <c r="E359" s="22" t="s">
        <v>8</v>
      </c>
    </row>
    <row r="360" spans="1:5" x14ac:dyDescent="0.25">
      <c r="A360" s="21" t="s">
        <v>608</v>
      </c>
      <c r="B360" s="22" t="s">
        <v>609</v>
      </c>
      <c r="C360" s="23">
        <v>60</v>
      </c>
      <c r="D360" s="22" t="s">
        <v>109</v>
      </c>
      <c r="E360" s="22" t="s">
        <v>8</v>
      </c>
    </row>
    <row r="361" spans="1:5" x14ac:dyDescent="0.25">
      <c r="A361" s="21" t="s">
        <v>610</v>
      </c>
      <c r="B361" s="22" t="s">
        <v>177</v>
      </c>
      <c r="C361" s="23">
        <v>170</v>
      </c>
      <c r="D361" s="22" t="s">
        <v>111</v>
      </c>
      <c r="E361" s="22" t="s">
        <v>8</v>
      </c>
    </row>
    <row r="362" spans="1:5" x14ac:dyDescent="0.25">
      <c r="A362" s="21" t="s">
        <v>610</v>
      </c>
      <c r="B362" s="22" t="s">
        <v>611</v>
      </c>
      <c r="C362" s="23">
        <v>212</v>
      </c>
      <c r="D362" s="22" t="s">
        <v>102</v>
      </c>
      <c r="E362" s="22" t="s">
        <v>8</v>
      </c>
    </row>
    <row r="363" spans="1:5" x14ac:dyDescent="0.25">
      <c r="A363" s="21" t="s">
        <v>610</v>
      </c>
      <c r="B363" s="22" t="s">
        <v>612</v>
      </c>
      <c r="C363" s="23">
        <v>608</v>
      </c>
      <c r="D363" s="22" t="s">
        <v>109</v>
      </c>
      <c r="E363" s="22" t="s">
        <v>8</v>
      </c>
    </row>
    <row r="364" spans="1:5" x14ac:dyDescent="0.25">
      <c r="A364" s="21" t="s">
        <v>610</v>
      </c>
      <c r="B364" s="22" t="s">
        <v>613</v>
      </c>
      <c r="C364" s="23">
        <v>100</v>
      </c>
      <c r="D364" s="22" t="s">
        <v>109</v>
      </c>
      <c r="E364" s="22" t="s">
        <v>8</v>
      </c>
    </row>
    <row r="365" spans="1:5" x14ac:dyDescent="0.25">
      <c r="A365" s="21" t="s">
        <v>614</v>
      </c>
      <c r="B365" s="22" t="s">
        <v>224</v>
      </c>
      <c r="C365" s="23">
        <v>200</v>
      </c>
      <c r="D365" s="22" t="s">
        <v>111</v>
      </c>
      <c r="E365" s="22" t="s">
        <v>8</v>
      </c>
    </row>
    <row r="366" spans="1:5" x14ac:dyDescent="0.25">
      <c r="A366" s="21" t="s">
        <v>615</v>
      </c>
      <c r="B366" s="22" t="s">
        <v>616</v>
      </c>
      <c r="C366" s="23">
        <v>458</v>
      </c>
      <c r="D366" s="22" t="s">
        <v>109</v>
      </c>
      <c r="E366" s="22" t="s">
        <v>8</v>
      </c>
    </row>
    <row r="367" spans="1:5" x14ac:dyDescent="0.25">
      <c r="A367" s="21" t="s">
        <v>617</v>
      </c>
      <c r="B367" s="22" t="s">
        <v>618</v>
      </c>
      <c r="C367" s="23">
        <v>66</v>
      </c>
      <c r="D367" s="22" t="s">
        <v>102</v>
      </c>
      <c r="E367" s="22" t="s">
        <v>8</v>
      </c>
    </row>
    <row r="368" spans="1:5" x14ac:dyDescent="0.25">
      <c r="A368" s="21" t="s">
        <v>617</v>
      </c>
      <c r="B368" s="22" t="s">
        <v>619</v>
      </c>
      <c r="C368" s="23">
        <v>702</v>
      </c>
      <c r="D368" s="22" t="s">
        <v>102</v>
      </c>
      <c r="E368" s="22" t="s">
        <v>8</v>
      </c>
    </row>
    <row r="369" spans="1:5" x14ac:dyDescent="0.25">
      <c r="A369" s="21" t="s">
        <v>620</v>
      </c>
      <c r="B369" s="22" t="s">
        <v>621</v>
      </c>
      <c r="C369" s="23">
        <v>212</v>
      </c>
      <c r="D369" s="22" t="s">
        <v>102</v>
      </c>
      <c r="E369" s="22" t="s">
        <v>8</v>
      </c>
    </row>
    <row r="370" spans="1:5" x14ac:dyDescent="0.25">
      <c r="A370" s="21" t="s">
        <v>620</v>
      </c>
      <c r="B370" s="22" t="s">
        <v>622</v>
      </c>
      <c r="C370" s="23">
        <v>359</v>
      </c>
      <c r="D370" s="22" t="s">
        <v>102</v>
      </c>
      <c r="E370" s="22" t="s">
        <v>8</v>
      </c>
    </row>
    <row r="371" spans="1:5" x14ac:dyDescent="0.25">
      <c r="A371" s="21" t="s">
        <v>620</v>
      </c>
      <c r="B371" s="22" t="s">
        <v>623</v>
      </c>
      <c r="C371" s="23">
        <v>336.25</v>
      </c>
      <c r="D371" s="22" t="s">
        <v>109</v>
      </c>
      <c r="E371" s="22" t="s">
        <v>8</v>
      </c>
    </row>
    <row r="372" spans="1:5" x14ac:dyDescent="0.25">
      <c r="A372" s="21" t="s">
        <v>7</v>
      </c>
      <c r="B372" s="22" t="s">
        <v>624</v>
      </c>
      <c r="C372" s="23">
        <v>3810</v>
      </c>
      <c r="D372" s="22" t="s">
        <v>99</v>
      </c>
      <c r="E372" s="22" t="s">
        <v>0</v>
      </c>
    </row>
    <row r="373" spans="1:5" x14ac:dyDescent="0.25">
      <c r="A373" s="21" t="s">
        <v>7</v>
      </c>
      <c r="B373" s="22" t="s">
        <v>168</v>
      </c>
      <c r="C373" s="23">
        <v>100</v>
      </c>
      <c r="D373" s="22" t="s">
        <v>109</v>
      </c>
      <c r="E373" s="22" t="s">
        <v>0</v>
      </c>
    </row>
    <row r="374" spans="1:5" x14ac:dyDescent="0.25">
      <c r="A374" s="21" t="s">
        <v>625</v>
      </c>
      <c r="B374" s="22" t="s">
        <v>270</v>
      </c>
      <c r="C374" s="23">
        <v>6500</v>
      </c>
      <c r="D374" s="22" t="s">
        <v>106</v>
      </c>
      <c r="E374" s="22" t="s">
        <v>0</v>
      </c>
    </row>
    <row r="375" spans="1:5" x14ac:dyDescent="0.25">
      <c r="A375" s="21" t="s">
        <v>625</v>
      </c>
      <c r="B375" s="22" t="s">
        <v>626</v>
      </c>
      <c r="C375" s="23">
        <v>200</v>
      </c>
      <c r="D375" s="22" t="s">
        <v>104</v>
      </c>
      <c r="E375" s="22" t="s">
        <v>0</v>
      </c>
    </row>
    <row r="376" spans="1:5" x14ac:dyDescent="0.25">
      <c r="A376" s="21" t="s">
        <v>625</v>
      </c>
      <c r="B376" s="22" t="s">
        <v>627</v>
      </c>
      <c r="C376" s="23">
        <v>640</v>
      </c>
      <c r="D376" s="22" t="s">
        <v>111</v>
      </c>
      <c r="E376" s="22" t="s">
        <v>0</v>
      </c>
    </row>
    <row r="377" spans="1:5" x14ac:dyDescent="0.25">
      <c r="A377" s="21" t="s">
        <v>628</v>
      </c>
      <c r="B377" s="22" t="s">
        <v>629</v>
      </c>
      <c r="C377" s="23">
        <v>1038</v>
      </c>
      <c r="D377" s="22" t="s">
        <v>102</v>
      </c>
      <c r="E377" s="22" t="s">
        <v>0</v>
      </c>
    </row>
    <row r="378" spans="1:5" x14ac:dyDescent="0.25">
      <c r="A378" s="21" t="s">
        <v>630</v>
      </c>
      <c r="B378" s="22" t="s">
        <v>224</v>
      </c>
      <c r="C378" s="23">
        <v>180</v>
      </c>
      <c r="D378" s="22" t="s">
        <v>111</v>
      </c>
      <c r="E378" s="22" t="s">
        <v>0</v>
      </c>
    </row>
    <row r="379" spans="1:5" x14ac:dyDescent="0.25">
      <c r="A379" s="21" t="s">
        <v>5</v>
      </c>
      <c r="B379" s="22" t="s">
        <v>631</v>
      </c>
      <c r="C379" s="23">
        <v>420</v>
      </c>
      <c r="D379" s="22" t="s">
        <v>109</v>
      </c>
      <c r="E379" s="22" t="s">
        <v>0</v>
      </c>
    </row>
    <row r="380" spans="1:5" x14ac:dyDescent="0.25">
      <c r="A380" s="21" t="s">
        <v>5</v>
      </c>
      <c r="B380" s="22" t="s">
        <v>632</v>
      </c>
      <c r="C380" s="23">
        <v>165</v>
      </c>
      <c r="D380" s="22" t="s">
        <v>109</v>
      </c>
      <c r="E380" s="22" t="s">
        <v>0</v>
      </c>
    </row>
    <row r="381" spans="1:5" x14ac:dyDescent="0.25">
      <c r="A381" s="21" t="s">
        <v>5</v>
      </c>
      <c r="B381" s="22" t="s">
        <v>618</v>
      </c>
      <c r="C381" s="23">
        <v>150</v>
      </c>
      <c r="D381" s="22" t="s">
        <v>102</v>
      </c>
      <c r="E381" s="22" t="s">
        <v>0</v>
      </c>
    </row>
    <row r="382" spans="1:5" x14ac:dyDescent="0.25">
      <c r="A382" s="21" t="s">
        <v>5</v>
      </c>
      <c r="B382" s="22" t="s">
        <v>633</v>
      </c>
      <c r="C382" s="23">
        <v>19200</v>
      </c>
      <c r="D382" s="22" t="s">
        <v>103</v>
      </c>
      <c r="E382" s="22" t="s">
        <v>0</v>
      </c>
    </row>
    <row r="383" spans="1:5" x14ac:dyDescent="0.25">
      <c r="A383" s="21" t="s">
        <v>3</v>
      </c>
      <c r="B383" s="22" t="s">
        <v>128</v>
      </c>
      <c r="C383" s="23">
        <v>130</v>
      </c>
      <c r="D383" s="22" t="s">
        <v>109</v>
      </c>
      <c r="E383" s="22" t="s">
        <v>0</v>
      </c>
    </row>
    <row r="384" spans="1:5" x14ac:dyDescent="0.25">
      <c r="A384" s="21" t="s">
        <v>3</v>
      </c>
      <c r="B384" s="22" t="s">
        <v>634</v>
      </c>
      <c r="C384" s="23">
        <v>370</v>
      </c>
      <c r="D384" s="22" t="s">
        <v>102</v>
      </c>
      <c r="E384" s="22" t="s">
        <v>0</v>
      </c>
    </row>
    <row r="385" spans="1:5" x14ac:dyDescent="0.25">
      <c r="A385" s="21" t="s">
        <v>635</v>
      </c>
      <c r="B385" s="22" t="s">
        <v>636</v>
      </c>
      <c r="C385" s="23">
        <v>140</v>
      </c>
      <c r="D385" s="22" t="s">
        <v>102</v>
      </c>
      <c r="E385" s="22" t="s">
        <v>0</v>
      </c>
    </row>
    <row r="386" spans="1:5" x14ac:dyDescent="0.25">
      <c r="A386" s="21" t="s">
        <v>635</v>
      </c>
      <c r="B386" s="22" t="s">
        <v>177</v>
      </c>
      <c r="C386" s="23">
        <v>275</v>
      </c>
      <c r="D386" s="22" t="s">
        <v>111</v>
      </c>
      <c r="E386" s="22" t="s">
        <v>0</v>
      </c>
    </row>
    <row r="387" spans="1:5" x14ac:dyDescent="0.25">
      <c r="A387" s="21" t="s">
        <v>635</v>
      </c>
      <c r="B387" s="22" t="s">
        <v>637</v>
      </c>
      <c r="C387" s="23">
        <v>40</v>
      </c>
      <c r="D387" s="22" t="s">
        <v>109</v>
      </c>
      <c r="E387" s="22" t="s">
        <v>0</v>
      </c>
    </row>
    <row r="388" spans="1:5" x14ac:dyDescent="0.25">
      <c r="A388" s="21" t="s">
        <v>638</v>
      </c>
      <c r="B388" s="22" t="s">
        <v>639</v>
      </c>
      <c r="C388" s="23">
        <v>1314</v>
      </c>
      <c r="D388" s="22" t="s">
        <v>102</v>
      </c>
      <c r="E388" s="22" t="s">
        <v>0</v>
      </c>
    </row>
    <row r="389" spans="1:5" x14ac:dyDescent="0.25">
      <c r="A389" s="21" t="s">
        <v>638</v>
      </c>
      <c r="B389" s="22" t="s">
        <v>640</v>
      </c>
      <c r="C389" s="23">
        <v>280</v>
      </c>
      <c r="D389" s="22" t="s">
        <v>111</v>
      </c>
      <c r="E389" s="22" t="s">
        <v>0</v>
      </c>
    </row>
    <row r="390" spans="1:5" x14ac:dyDescent="0.25">
      <c r="A390" s="21" t="s">
        <v>641</v>
      </c>
      <c r="B390" s="22" t="s">
        <v>642</v>
      </c>
      <c r="C390" s="23">
        <v>1100</v>
      </c>
      <c r="D390" s="22" t="s">
        <v>109</v>
      </c>
      <c r="E390" s="22" t="s">
        <v>0</v>
      </c>
    </row>
    <row r="391" spans="1:5" x14ac:dyDescent="0.25">
      <c r="A391" s="21" t="s">
        <v>643</v>
      </c>
      <c r="B391" s="22" t="s">
        <v>264</v>
      </c>
      <c r="C391" s="23">
        <v>219</v>
      </c>
      <c r="D391" s="22" t="s">
        <v>102</v>
      </c>
      <c r="E391" s="22" t="s">
        <v>0</v>
      </c>
    </row>
    <row r="392" spans="1:5" x14ac:dyDescent="0.25">
      <c r="A392" s="21" t="s">
        <v>643</v>
      </c>
      <c r="B392" s="22" t="s">
        <v>600</v>
      </c>
      <c r="C392" s="23">
        <v>30</v>
      </c>
      <c r="D392" s="22" t="s">
        <v>111</v>
      </c>
      <c r="E392" s="22" t="s">
        <v>0</v>
      </c>
    </row>
    <row r="393" spans="1:5" x14ac:dyDescent="0.25">
      <c r="A393" s="21" t="s">
        <v>643</v>
      </c>
      <c r="B393" s="22" t="s">
        <v>644</v>
      </c>
      <c r="C393" s="23">
        <v>35</v>
      </c>
      <c r="D393" s="22" t="s">
        <v>109</v>
      </c>
      <c r="E393" s="22" t="s">
        <v>0</v>
      </c>
    </row>
    <row r="394" spans="1:5" x14ac:dyDescent="0.25">
      <c r="A394" s="21" t="s">
        <v>645</v>
      </c>
      <c r="B394" s="22" t="s">
        <v>646</v>
      </c>
      <c r="C394" s="23">
        <v>400</v>
      </c>
      <c r="D394" s="22" t="s">
        <v>109</v>
      </c>
      <c r="E394" s="22" t="s">
        <v>0</v>
      </c>
    </row>
    <row r="395" spans="1:5" x14ac:dyDescent="0.25">
      <c r="A395" s="21" t="s">
        <v>647</v>
      </c>
      <c r="B395" s="22" t="s">
        <v>637</v>
      </c>
      <c r="C395" s="23">
        <v>50</v>
      </c>
      <c r="D395" s="22" t="s">
        <v>109</v>
      </c>
      <c r="E395" s="22" t="s">
        <v>0</v>
      </c>
    </row>
    <row r="396" spans="1:5" x14ac:dyDescent="0.25">
      <c r="A396" s="21" t="s">
        <v>647</v>
      </c>
      <c r="B396" s="22" t="s">
        <v>648</v>
      </c>
      <c r="C396" s="23">
        <v>50</v>
      </c>
      <c r="D396" s="22" t="s">
        <v>102</v>
      </c>
      <c r="E396" s="22" t="s">
        <v>0</v>
      </c>
    </row>
    <row r="397" spans="1:5" x14ac:dyDescent="0.25">
      <c r="A397" s="21" t="s">
        <v>647</v>
      </c>
      <c r="B397" s="22" t="s">
        <v>284</v>
      </c>
      <c r="C397" s="23">
        <v>80</v>
      </c>
      <c r="D397" s="22" t="s">
        <v>105</v>
      </c>
      <c r="E397" s="22" t="s">
        <v>0</v>
      </c>
    </row>
    <row r="398" spans="1:5" x14ac:dyDescent="0.25">
      <c r="A398" s="21" t="s">
        <v>649</v>
      </c>
      <c r="B398" s="22" t="s">
        <v>650</v>
      </c>
      <c r="C398" s="23">
        <v>40</v>
      </c>
      <c r="D398" s="22" t="s">
        <v>102</v>
      </c>
      <c r="E398" s="22" t="s">
        <v>0</v>
      </c>
    </row>
    <row r="399" spans="1:5" x14ac:dyDescent="0.25">
      <c r="A399" s="21" t="s">
        <v>649</v>
      </c>
      <c r="B399" s="22" t="s">
        <v>651</v>
      </c>
      <c r="C399" s="23">
        <v>35</v>
      </c>
      <c r="D399" s="22" t="s">
        <v>102</v>
      </c>
      <c r="E399" s="22" t="s">
        <v>0</v>
      </c>
    </row>
    <row r="400" spans="1:5" x14ac:dyDescent="0.25">
      <c r="A400" s="21" t="s">
        <v>649</v>
      </c>
      <c r="B400" s="22" t="s">
        <v>652</v>
      </c>
      <c r="C400" s="23">
        <v>338</v>
      </c>
      <c r="D400" s="22" t="s">
        <v>102</v>
      </c>
      <c r="E400" s="22" t="s">
        <v>0</v>
      </c>
    </row>
    <row r="401" spans="1:5" x14ac:dyDescent="0.25">
      <c r="A401" s="24" t="s">
        <v>649</v>
      </c>
      <c r="B401" s="25" t="s">
        <v>102</v>
      </c>
      <c r="C401" s="26">
        <v>0</v>
      </c>
      <c r="D401" s="25" t="s">
        <v>102</v>
      </c>
      <c r="E401" s="25" t="s">
        <v>0</v>
      </c>
    </row>
    <row r="402" spans="1:5" x14ac:dyDescent="0.25">
      <c r="A402" s="21" t="s">
        <v>649</v>
      </c>
      <c r="B402" s="22" t="s">
        <v>653</v>
      </c>
      <c r="C402" s="23">
        <v>904</v>
      </c>
      <c r="D402" s="22" t="s">
        <v>109</v>
      </c>
      <c r="E402" s="22" t="s">
        <v>0</v>
      </c>
    </row>
    <row r="403" spans="1:5" x14ac:dyDescent="0.25">
      <c r="A403" s="21" t="s">
        <v>654</v>
      </c>
      <c r="B403" s="22" t="s">
        <v>655</v>
      </c>
      <c r="C403" s="23">
        <v>525</v>
      </c>
      <c r="D403" s="22" t="s">
        <v>109</v>
      </c>
      <c r="E403" s="22" t="s">
        <v>0</v>
      </c>
    </row>
    <row r="404" spans="1:5" x14ac:dyDescent="0.25">
      <c r="A404" s="21" t="s">
        <v>654</v>
      </c>
      <c r="B404" s="22" t="s">
        <v>656</v>
      </c>
      <c r="C404" s="23">
        <v>1500</v>
      </c>
      <c r="D404" s="22" t="s">
        <v>109</v>
      </c>
      <c r="E404" s="22" t="s">
        <v>0</v>
      </c>
    </row>
    <row r="405" spans="1:5" x14ac:dyDescent="0.25">
      <c r="A405" s="21" t="s">
        <v>654</v>
      </c>
      <c r="B405" s="22" t="s">
        <v>436</v>
      </c>
      <c r="C405" s="23">
        <v>38</v>
      </c>
      <c r="D405" s="22" t="s">
        <v>107</v>
      </c>
      <c r="E405" s="22" t="s">
        <v>0</v>
      </c>
    </row>
    <row r="406" spans="1:5" x14ac:dyDescent="0.25">
      <c r="A406" s="21" t="s">
        <v>654</v>
      </c>
      <c r="B406" s="22" t="s">
        <v>657</v>
      </c>
      <c r="C406" s="23">
        <v>270</v>
      </c>
      <c r="D406" s="22" t="s">
        <v>111</v>
      </c>
      <c r="E406" s="22" t="s">
        <v>0</v>
      </c>
    </row>
    <row r="407" spans="1:5" x14ac:dyDescent="0.25">
      <c r="A407" s="21" t="s">
        <v>658</v>
      </c>
      <c r="B407" s="22" t="s">
        <v>659</v>
      </c>
      <c r="C407" s="23">
        <v>2048</v>
      </c>
      <c r="D407" s="22" t="s">
        <v>107</v>
      </c>
      <c r="E407" s="22" t="s">
        <v>0</v>
      </c>
    </row>
    <row r="408" spans="1:5" x14ac:dyDescent="0.25">
      <c r="A408" s="21" t="s">
        <v>658</v>
      </c>
      <c r="B408" s="22" t="s">
        <v>350</v>
      </c>
      <c r="C408" s="23">
        <v>300</v>
      </c>
      <c r="D408" s="22" t="s">
        <v>109</v>
      </c>
      <c r="E408" s="22" t="s">
        <v>0</v>
      </c>
    </row>
    <row r="409" spans="1:5" x14ac:dyDescent="0.25">
      <c r="A409" s="21" t="s">
        <v>658</v>
      </c>
      <c r="B409" s="22" t="s">
        <v>192</v>
      </c>
      <c r="C409" s="23">
        <v>370</v>
      </c>
      <c r="D409" s="22" t="s">
        <v>109</v>
      </c>
      <c r="E409" s="22" t="s">
        <v>0</v>
      </c>
    </row>
    <row r="410" spans="1:5" x14ac:dyDescent="0.25">
      <c r="A410" s="21" t="s">
        <v>660</v>
      </c>
      <c r="B410" s="22" t="s">
        <v>661</v>
      </c>
      <c r="C410" s="23">
        <v>40</v>
      </c>
      <c r="D410" s="22" t="s">
        <v>109</v>
      </c>
      <c r="E410" s="22" t="s">
        <v>0</v>
      </c>
    </row>
    <row r="411" spans="1:5" x14ac:dyDescent="0.25">
      <c r="A411" s="21" t="s">
        <v>660</v>
      </c>
      <c r="B411" s="22" t="s">
        <v>618</v>
      </c>
      <c r="C411" s="23">
        <v>120</v>
      </c>
      <c r="D411" s="22" t="s">
        <v>102</v>
      </c>
      <c r="E411" s="22" t="s">
        <v>0</v>
      </c>
    </row>
    <row r="412" spans="1:5" x14ac:dyDescent="0.25">
      <c r="A412" s="21" t="s">
        <v>662</v>
      </c>
      <c r="B412" s="22" t="s">
        <v>663</v>
      </c>
      <c r="C412" s="23">
        <v>650</v>
      </c>
      <c r="D412" s="22" t="s">
        <v>109</v>
      </c>
      <c r="E412" s="22" t="s">
        <v>0</v>
      </c>
    </row>
    <row r="413" spans="1:5" x14ac:dyDescent="0.25">
      <c r="A413" s="21" t="s">
        <v>662</v>
      </c>
      <c r="B413" s="22" t="s">
        <v>664</v>
      </c>
      <c r="C413" s="23">
        <v>212</v>
      </c>
      <c r="D413" s="22" t="s">
        <v>109</v>
      </c>
      <c r="E413" s="22" t="s">
        <v>0</v>
      </c>
    </row>
    <row r="414" spans="1:5" x14ac:dyDescent="0.25">
      <c r="A414" s="21" t="s">
        <v>662</v>
      </c>
      <c r="B414" s="22" t="s">
        <v>665</v>
      </c>
      <c r="C414" s="23">
        <v>155</v>
      </c>
      <c r="D414" s="22" t="s">
        <v>111</v>
      </c>
      <c r="E414" s="22" t="s">
        <v>0</v>
      </c>
    </row>
    <row r="415" spans="1:5" x14ac:dyDescent="0.25">
      <c r="A415" s="21" t="s">
        <v>666</v>
      </c>
      <c r="B415" s="22" t="s">
        <v>361</v>
      </c>
      <c r="C415" s="23">
        <v>20</v>
      </c>
      <c r="D415" s="22" t="s">
        <v>109</v>
      </c>
      <c r="E415" s="22" t="s">
        <v>0</v>
      </c>
    </row>
    <row r="416" spans="1:5" x14ac:dyDescent="0.25">
      <c r="A416" s="21" t="s">
        <v>666</v>
      </c>
      <c r="B416" s="22" t="s">
        <v>505</v>
      </c>
      <c r="C416" s="23">
        <v>220</v>
      </c>
      <c r="D416" s="22" t="s">
        <v>101</v>
      </c>
      <c r="E416" s="22" t="s">
        <v>0</v>
      </c>
    </row>
    <row r="417" spans="1:5" x14ac:dyDescent="0.25">
      <c r="A417" s="21" t="s">
        <v>666</v>
      </c>
      <c r="B417" s="22" t="s">
        <v>667</v>
      </c>
      <c r="C417" s="23">
        <v>40</v>
      </c>
      <c r="D417" s="22" t="s">
        <v>102</v>
      </c>
      <c r="E417" s="22" t="s">
        <v>0</v>
      </c>
    </row>
    <row r="418" spans="1:5" x14ac:dyDescent="0.25">
      <c r="A418" s="21" t="s">
        <v>666</v>
      </c>
      <c r="B418" s="22" t="s">
        <v>237</v>
      </c>
      <c r="C418" s="23">
        <v>18</v>
      </c>
      <c r="D418" s="22" t="s">
        <v>109</v>
      </c>
      <c r="E418" s="22" t="s">
        <v>0</v>
      </c>
    </row>
    <row r="419" spans="1:5" x14ac:dyDescent="0.25">
      <c r="A419" s="21" t="s">
        <v>668</v>
      </c>
      <c r="B419" s="22" t="s">
        <v>669</v>
      </c>
      <c r="C419" s="23">
        <v>347</v>
      </c>
      <c r="D419" s="22" t="s">
        <v>109</v>
      </c>
      <c r="E419" s="22" t="s">
        <v>0</v>
      </c>
    </row>
    <row r="420" spans="1:5" x14ac:dyDescent="0.25">
      <c r="A420" s="21" t="s">
        <v>668</v>
      </c>
      <c r="B420" s="22" t="s">
        <v>284</v>
      </c>
      <c r="C420" s="23">
        <v>160</v>
      </c>
      <c r="D420" s="22" t="s">
        <v>105</v>
      </c>
      <c r="E420" s="22" t="s">
        <v>0</v>
      </c>
    </row>
    <row r="421" spans="1:5" x14ac:dyDescent="0.25">
      <c r="A421" s="21" t="s">
        <v>670</v>
      </c>
      <c r="B421" s="22" t="s">
        <v>195</v>
      </c>
      <c r="C421" s="23">
        <v>2122</v>
      </c>
      <c r="D421" s="22" t="s">
        <v>107</v>
      </c>
      <c r="E421" s="22" t="s">
        <v>0</v>
      </c>
    </row>
    <row r="422" spans="1:5" x14ac:dyDescent="0.25">
      <c r="A422" s="24" t="s">
        <v>670</v>
      </c>
      <c r="B422" s="25" t="s">
        <v>671</v>
      </c>
      <c r="C422" s="26">
        <v>0</v>
      </c>
      <c r="D422" s="25" t="s">
        <v>109</v>
      </c>
      <c r="E422" s="25" t="s">
        <v>0</v>
      </c>
    </row>
    <row r="423" spans="1:5" x14ac:dyDescent="0.25">
      <c r="A423" s="21" t="s">
        <v>59</v>
      </c>
      <c r="B423" s="22" t="s">
        <v>672</v>
      </c>
      <c r="C423" s="23">
        <v>2640</v>
      </c>
      <c r="D423" s="22" t="s">
        <v>99</v>
      </c>
      <c r="E423" s="22" t="s">
        <v>80</v>
      </c>
    </row>
    <row r="424" spans="1:5" x14ac:dyDescent="0.25">
      <c r="A424" s="21" t="s">
        <v>59</v>
      </c>
      <c r="B424" s="22" t="s">
        <v>448</v>
      </c>
      <c r="C424" s="23">
        <v>1166</v>
      </c>
      <c r="D424" s="22" t="s">
        <v>100</v>
      </c>
      <c r="E424" s="22" t="s">
        <v>80</v>
      </c>
    </row>
    <row r="425" spans="1:5" x14ac:dyDescent="0.25">
      <c r="A425" s="21" t="s">
        <v>61</v>
      </c>
      <c r="B425" s="22" t="s">
        <v>673</v>
      </c>
      <c r="C425" s="23">
        <v>938</v>
      </c>
      <c r="D425" s="22" t="s">
        <v>107</v>
      </c>
      <c r="E425" s="22" t="s">
        <v>80</v>
      </c>
    </row>
    <row r="426" spans="1:5" x14ac:dyDescent="0.25">
      <c r="A426" s="21" t="s">
        <v>61</v>
      </c>
      <c r="B426" s="22" t="s">
        <v>674</v>
      </c>
      <c r="C426" s="23">
        <v>19200</v>
      </c>
      <c r="D426" s="22" t="s">
        <v>103</v>
      </c>
      <c r="E426" s="22" t="s">
        <v>80</v>
      </c>
    </row>
    <row r="427" spans="1:5" x14ac:dyDescent="0.25">
      <c r="A427" s="21" t="s">
        <v>675</v>
      </c>
      <c r="B427" s="22" t="s">
        <v>676</v>
      </c>
      <c r="C427" s="23">
        <v>160</v>
      </c>
      <c r="D427" s="22" t="s">
        <v>109</v>
      </c>
      <c r="E427" s="22" t="s">
        <v>80</v>
      </c>
    </row>
    <row r="428" spans="1:5" x14ac:dyDescent="0.25">
      <c r="A428" s="21" t="s">
        <v>63</v>
      </c>
      <c r="B428" s="22" t="s">
        <v>677</v>
      </c>
      <c r="C428" s="23">
        <v>165</v>
      </c>
      <c r="D428" s="22" t="s">
        <v>111</v>
      </c>
      <c r="E428" s="22" t="s">
        <v>80</v>
      </c>
    </row>
    <row r="429" spans="1:5" x14ac:dyDescent="0.25">
      <c r="A429" s="21" t="s">
        <v>63</v>
      </c>
      <c r="B429" s="22" t="s">
        <v>678</v>
      </c>
      <c r="C429" s="23">
        <v>70</v>
      </c>
      <c r="D429" s="22" t="s">
        <v>111</v>
      </c>
      <c r="E429" s="22" t="s">
        <v>80</v>
      </c>
    </row>
    <row r="430" spans="1:5" x14ac:dyDescent="0.25">
      <c r="A430" s="21" t="s">
        <v>63</v>
      </c>
      <c r="B430" s="22" t="s">
        <v>181</v>
      </c>
      <c r="C430" s="23">
        <v>120</v>
      </c>
      <c r="D430" s="22" t="s">
        <v>111</v>
      </c>
      <c r="E430" s="22" t="s">
        <v>80</v>
      </c>
    </row>
    <row r="431" spans="1:5" x14ac:dyDescent="0.25">
      <c r="A431" s="21" t="s">
        <v>63</v>
      </c>
      <c r="B431" s="22" t="s">
        <v>584</v>
      </c>
      <c r="C431" s="23">
        <v>42</v>
      </c>
      <c r="D431" s="22" t="s">
        <v>101</v>
      </c>
      <c r="E431" s="22" t="s">
        <v>80</v>
      </c>
    </row>
    <row r="432" spans="1:5" x14ac:dyDescent="0.25">
      <c r="A432" s="21" t="s">
        <v>679</v>
      </c>
      <c r="B432" s="22" t="s">
        <v>680</v>
      </c>
      <c r="C432" s="23">
        <v>160</v>
      </c>
      <c r="D432" s="22" t="s">
        <v>111</v>
      </c>
      <c r="E432" s="22" t="s">
        <v>80</v>
      </c>
    </row>
    <row r="433" spans="1:5" x14ac:dyDescent="0.25">
      <c r="A433" s="21" t="s">
        <v>681</v>
      </c>
      <c r="B433" s="22" t="s">
        <v>682</v>
      </c>
      <c r="C433" s="23">
        <v>897</v>
      </c>
      <c r="D433" s="22" t="s">
        <v>109</v>
      </c>
      <c r="E433" s="22" t="s">
        <v>80</v>
      </c>
    </row>
    <row r="434" spans="1:5" x14ac:dyDescent="0.25">
      <c r="A434" s="21" t="s">
        <v>681</v>
      </c>
      <c r="B434" s="22" t="s">
        <v>683</v>
      </c>
      <c r="C434" s="23">
        <v>25</v>
      </c>
      <c r="D434" s="22" t="s">
        <v>111</v>
      </c>
      <c r="E434" s="22" t="s">
        <v>80</v>
      </c>
    </row>
    <row r="435" spans="1:5" x14ac:dyDescent="0.25">
      <c r="A435" s="21" t="s">
        <v>681</v>
      </c>
      <c r="B435" s="22" t="s">
        <v>684</v>
      </c>
      <c r="C435" s="23">
        <v>500</v>
      </c>
      <c r="D435" s="22" t="s">
        <v>102</v>
      </c>
      <c r="E435" s="22" t="s">
        <v>80</v>
      </c>
    </row>
    <row r="436" spans="1:5" x14ac:dyDescent="0.25">
      <c r="A436" s="21" t="s">
        <v>681</v>
      </c>
      <c r="B436" s="22" t="s">
        <v>685</v>
      </c>
      <c r="C436" s="23">
        <v>75</v>
      </c>
      <c r="D436" s="22" t="s">
        <v>102</v>
      </c>
      <c r="E436" s="22" t="s">
        <v>80</v>
      </c>
    </row>
    <row r="437" spans="1:5" x14ac:dyDescent="0.25">
      <c r="A437" s="21" t="s">
        <v>681</v>
      </c>
      <c r="B437" s="22" t="s">
        <v>686</v>
      </c>
      <c r="C437" s="23">
        <v>5000</v>
      </c>
      <c r="D437" s="22" t="s">
        <v>106</v>
      </c>
      <c r="E437" s="22" t="s">
        <v>80</v>
      </c>
    </row>
    <row r="438" spans="1:5" x14ac:dyDescent="0.25">
      <c r="A438" s="21" t="s">
        <v>687</v>
      </c>
      <c r="B438" s="22" t="s">
        <v>688</v>
      </c>
      <c r="C438" s="23">
        <v>50</v>
      </c>
      <c r="D438" s="22" t="s">
        <v>102</v>
      </c>
      <c r="E438" s="22" t="s">
        <v>80</v>
      </c>
    </row>
    <row r="439" spans="1:5" x14ac:dyDescent="0.25">
      <c r="A439" s="21" t="s">
        <v>687</v>
      </c>
      <c r="B439" s="22" t="s">
        <v>689</v>
      </c>
      <c r="C439" s="23">
        <v>215</v>
      </c>
      <c r="D439" s="22" t="s">
        <v>111</v>
      </c>
      <c r="E439" s="22" t="s">
        <v>80</v>
      </c>
    </row>
    <row r="440" spans="1:5" x14ac:dyDescent="0.25">
      <c r="A440" s="24" t="s">
        <v>687</v>
      </c>
      <c r="B440" s="25" t="s">
        <v>671</v>
      </c>
      <c r="C440" s="26">
        <v>0</v>
      </c>
      <c r="D440" s="25" t="s">
        <v>109</v>
      </c>
      <c r="E440" s="25" t="s">
        <v>80</v>
      </c>
    </row>
    <row r="441" spans="1:5" x14ac:dyDescent="0.25">
      <c r="A441" s="24" t="s">
        <v>687</v>
      </c>
      <c r="B441" s="25" t="s">
        <v>109</v>
      </c>
      <c r="C441" s="26">
        <v>0</v>
      </c>
      <c r="D441" s="25" t="s">
        <v>109</v>
      </c>
      <c r="E441" s="25" t="s">
        <v>80</v>
      </c>
    </row>
    <row r="442" spans="1:5" x14ac:dyDescent="0.25">
      <c r="A442" s="21" t="s">
        <v>687</v>
      </c>
      <c r="B442" s="22" t="s">
        <v>690</v>
      </c>
      <c r="C442" s="23">
        <v>650</v>
      </c>
      <c r="D442" s="22" t="s">
        <v>109</v>
      </c>
      <c r="E442" s="22" t="s">
        <v>80</v>
      </c>
    </row>
    <row r="443" spans="1:5" x14ac:dyDescent="0.25">
      <c r="A443" s="21" t="s">
        <v>691</v>
      </c>
      <c r="B443" s="22" t="s">
        <v>692</v>
      </c>
      <c r="C443" s="23">
        <v>357</v>
      </c>
      <c r="D443" s="22" t="s">
        <v>102</v>
      </c>
      <c r="E443" s="22" t="s">
        <v>80</v>
      </c>
    </row>
    <row r="444" spans="1:5" x14ac:dyDescent="0.25">
      <c r="A444" s="21" t="s">
        <v>691</v>
      </c>
      <c r="B444" s="22" t="s">
        <v>693</v>
      </c>
      <c r="C444" s="23">
        <v>130</v>
      </c>
      <c r="D444" s="22" t="s">
        <v>111</v>
      </c>
      <c r="E444" s="22" t="s">
        <v>80</v>
      </c>
    </row>
    <row r="445" spans="1:5" x14ac:dyDescent="0.25">
      <c r="A445" s="21" t="s">
        <v>694</v>
      </c>
      <c r="B445" s="22" t="s">
        <v>677</v>
      </c>
      <c r="C445" s="23">
        <v>140</v>
      </c>
      <c r="D445" s="22" t="s">
        <v>111</v>
      </c>
      <c r="E445" s="22" t="s">
        <v>80</v>
      </c>
    </row>
    <row r="446" spans="1:5" x14ac:dyDescent="0.25">
      <c r="A446" s="21" t="s">
        <v>694</v>
      </c>
      <c r="B446" s="22" t="s">
        <v>222</v>
      </c>
      <c r="C446" s="23">
        <v>88</v>
      </c>
      <c r="D446" s="22" t="s">
        <v>101</v>
      </c>
      <c r="E446" s="22" t="s">
        <v>80</v>
      </c>
    </row>
    <row r="447" spans="1:5" x14ac:dyDescent="0.25">
      <c r="A447" s="21" t="s">
        <v>694</v>
      </c>
      <c r="B447" s="22" t="s">
        <v>105</v>
      </c>
      <c r="C447" s="23">
        <v>120</v>
      </c>
      <c r="D447" s="22" t="s">
        <v>105</v>
      </c>
      <c r="E447" s="22" t="s">
        <v>80</v>
      </c>
    </row>
    <row r="448" spans="1:5" x14ac:dyDescent="0.25">
      <c r="A448" s="21" t="s">
        <v>695</v>
      </c>
      <c r="B448" s="22" t="s">
        <v>677</v>
      </c>
      <c r="C448" s="23">
        <v>180</v>
      </c>
      <c r="D448" s="22" t="s">
        <v>111</v>
      </c>
      <c r="E448" s="22" t="s">
        <v>80</v>
      </c>
    </row>
    <row r="449" spans="1:5" x14ac:dyDescent="0.25">
      <c r="A449" s="21" t="s">
        <v>696</v>
      </c>
      <c r="B449" s="22" t="s">
        <v>697</v>
      </c>
      <c r="C449" s="23">
        <v>235</v>
      </c>
      <c r="D449" s="22" t="s">
        <v>102</v>
      </c>
      <c r="E449" s="22" t="s">
        <v>80</v>
      </c>
    </row>
    <row r="450" spans="1:5" x14ac:dyDescent="0.25">
      <c r="A450" s="21" t="s">
        <v>698</v>
      </c>
      <c r="B450" s="22" t="s">
        <v>699</v>
      </c>
      <c r="C450" s="23">
        <v>130</v>
      </c>
      <c r="D450" s="22" t="s">
        <v>111</v>
      </c>
      <c r="E450" s="22" t="s">
        <v>80</v>
      </c>
    </row>
    <row r="451" spans="1:5" x14ac:dyDescent="0.25">
      <c r="A451" s="21" t="s">
        <v>700</v>
      </c>
      <c r="B451" s="22" t="s">
        <v>701</v>
      </c>
      <c r="C451" s="23">
        <v>823</v>
      </c>
      <c r="D451" s="22" t="s">
        <v>102</v>
      </c>
      <c r="E451" s="22" t="s">
        <v>80</v>
      </c>
    </row>
    <row r="452" spans="1:5" x14ac:dyDescent="0.25">
      <c r="A452" s="21" t="s">
        <v>700</v>
      </c>
      <c r="B452" s="22" t="s">
        <v>702</v>
      </c>
      <c r="C452" s="23">
        <v>800</v>
      </c>
      <c r="D452" s="22" t="s">
        <v>109</v>
      </c>
      <c r="E452" s="22" t="s">
        <v>80</v>
      </c>
    </row>
    <row r="453" spans="1:5" x14ac:dyDescent="0.25">
      <c r="A453" s="21" t="s">
        <v>700</v>
      </c>
      <c r="B453" s="22" t="s">
        <v>703</v>
      </c>
      <c r="C453" s="23">
        <v>100</v>
      </c>
      <c r="D453" s="22" t="s">
        <v>109</v>
      </c>
      <c r="E453" s="22" t="s">
        <v>80</v>
      </c>
    </row>
    <row r="454" spans="1:5" x14ac:dyDescent="0.25">
      <c r="A454" s="21" t="s">
        <v>704</v>
      </c>
      <c r="B454" s="22" t="s">
        <v>195</v>
      </c>
      <c r="C454" s="23">
        <v>759</v>
      </c>
      <c r="D454" s="22" t="s">
        <v>107</v>
      </c>
      <c r="E454" s="22" t="s">
        <v>80</v>
      </c>
    </row>
    <row r="455" spans="1:5" x14ac:dyDescent="0.25">
      <c r="A455" s="21" t="s">
        <v>704</v>
      </c>
      <c r="B455" s="22" t="s">
        <v>249</v>
      </c>
      <c r="C455" s="23">
        <v>522</v>
      </c>
      <c r="D455" s="22" t="s">
        <v>102</v>
      </c>
      <c r="E455" s="22" t="s">
        <v>80</v>
      </c>
    </row>
    <row r="456" spans="1:5" x14ac:dyDescent="0.25">
      <c r="A456" s="21" t="s">
        <v>705</v>
      </c>
      <c r="B456" s="22" t="s">
        <v>699</v>
      </c>
      <c r="C456" s="23">
        <v>130</v>
      </c>
      <c r="D456" s="22" t="s">
        <v>111</v>
      </c>
      <c r="E456" s="22" t="s">
        <v>80</v>
      </c>
    </row>
    <row r="457" spans="1:5" x14ac:dyDescent="0.25">
      <c r="A457" s="21" t="s">
        <v>705</v>
      </c>
      <c r="B457" s="22" t="s">
        <v>237</v>
      </c>
      <c r="C457" s="23">
        <v>18</v>
      </c>
      <c r="D457" s="22" t="s">
        <v>109</v>
      </c>
      <c r="E457" s="22" t="s">
        <v>80</v>
      </c>
    </row>
    <row r="458" spans="1:5" x14ac:dyDescent="0.25">
      <c r="A458" s="21" t="s">
        <v>706</v>
      </c>
      <c r="B458" s="22" t="s">
        <v>677</v>
      </c>
      <c r="C458" s="23">
        <v>90</v>
      </c>
      <c r="D458" s="22" t="s">
        <v>111</v>
      </c>
      <c r="E458" s="22" t="s">
        <v>80</v>
      </c>
    </row>
    <row r="459" spans="1:5" x14ac:dyDescent="0.25">
      <c r="A459" s="21" t="s">
        <v>707</v>
      </c>
      <c r="B459" s="22" t="s">
        <v>708</v>
      </c>
      <c r="C459" s="23">
        <v>547</v>
      </c>
      <c r="D459" s="22" t="s">
        <v>102</v>
      </c>
      <c r="E459" s="22" t="s">
        <v>80</v>
      </c>
    </row>
    <row r="460" spans="1:5" x14ac:dyDescent="0.25">
      <c r="A460" s="21" t="s">
        <v>707</v>
      </c>
      <c r="B460" s="22" t="s">
        <v>128</v>
      </c>
      <c r="C460" s="23">
        <v>85</v>
      </c>
      <c r="D460" s="22" t="s">
        <v>109</v>
      </c>
      <c r="E460" s="22" t="s">
        <v>80</v>
      </c>
    </row>
    <row r="461" spans="1:5" x14ac:dyDescent="0.25">
      <c r="A461" s="21" t="s">
        <v>71</v>
      </c>
      <c r="B461" s="22" t="s">
        <v>709</v>
      </c>
      <c r="C461" s="43">
        <v>2600</v>
      </c>
      <c r="D461" s="22" t="s">
        <v>99</v>
      </c>
      <c r="E461" s="22" t="s">
        <v>81</v>
      </c>
    </row>
    <row r="462" spans="1:5" x14ac:dyDescent="0.25">
      <c r="A462" s="27" t="s">
        <v>71</v>
      </c>
      <c r="B462" s="28" t="s">
        <v>710</v>
      </c>
      <c r="C462" s="29">
        <v>120</v>
      </c>
      <c r="D462" s="28" t="s">
        <v>111</v>
      </c>
      <c r="E462" s="28" t="s">
        <v>81</v>
      </c>
    </row>
    <row r="463" spans="1:5" x14ac:dyDescent="0.25">
      <c r="A463" s="27" t="s">
        <v>71</v>
      </c>
      <c r="B463" s="28" t="s">
        <v>711</v>
      </c>
      <c r="C463" s="29">
        <v>223</v>
      </c>
      <c r="D463" s="28" t="s">
        <v>111</v>
      </c>
      <c r="E463" s="28" t="s">
        <v>81</v>
      </c>
    </row>
    <row r="464" spans="1:5" x14ac:dyDescent="0.25">
      <c r="A464" s="21" t="s">
        <v>712</v>
      </c>
      <c r="B464" s="22" t="s">
        <v>713</v>
      </c>
      <c r="C464" s="43">
        <v>280</v>
      </c>
      <c r="D464" s="22" t="s">
        <v>105</v>
      </c>
      <c r="E464" s="22" t="s">
        <v>81</v>
      </c>
    </row>
    <row r="465" spans="1:5" x14ac:dyDescent="0.25">
      <c r="A465" s="21" t="s">
        <v>714</v>
      </c>
      <c r="B465" s="22" t="s">
        <v>715</v>
      </c>
      <c r="C465" s="43">
        <v>773</v>
      </c>
      <c r="D465" s="22" t="s">
        <v>102</v>
      </c>
      <c r="E465" s="22" t="s">
        <v>81</v>
      </c>
    </row>
    <row r="466" spans="1:5" x14ac:dyDescent="0.25">
      <c r="A466" s="21" t="s">
        <v>716</v>
      </c>
      <c r="B466" s="22" t="s">
        <v>717</v>
      </c>
      <c r="C466" s="43">
        <v>13.5</v>
      </c>
      <c r="D466" s="22" t="s">
        <v>109</v>
      </c>
      <c r="E466" s="22" t="s">
        <v>81</v>
      </c>
    </row>
    <row r="467" spans="1:5" x14ac:dyDescent="0.25">
      <c r="A467" s="21" t="s">
        <v>716</v>
      </c>
      <c r="B467" s="22" t="s">
        <v>718</v>
      </c>
      <c r="C467" s="43">
        <v>60</v>
      </c>
      <c r="D467" s="22" t="s">
        <v>101</v>
      </c>
      <c r="E467" s="22" t="s">
        <v>81</v>
      </c>
    </row>
    <row r="468" spans="1:5" x14ac:dyDescent="0.25">
      <c r="A468" s="21" t="s">
        <v>716</v>
      </c>
      <c r="B468" s="22" t="s">
        <v>222</v>
      </c>
      <c r="C468" s="43">
        <v>88</v>
      </c>
      <c r="D468" s="22" t="s">
        <v>101</v>
      </c>
      <c r="E468" s="22" t="s">
        <v>81</v>
      </c>
    </row>
    <row r="469" spans="1:5" x14ac:dyDescent="0.25">
      <c r="A469" s="21" t="s">
        <v>65</v>
      </c>
      <c r="B469" s="22" t="s">
        <v>719</v>
      </c>
      <c r="C469" s="43">
        <v>170</v>
      </c>
      <c r="D469" s="22" t="s">
        <v>102</v>
      </c>
      <c r="E469" s="22" t="s">
        <v>81</v>
      </c>
    </row>
    <row r="470" spans="1:5" x14ac:dyDescent="0.25">
      <c r="A470" s="21" t="s">
        <v>65</v>
      </c>
      <c r="B470" s="22" t="s">
        <v>215</v>
      </c>
      <c r="C470" s="43">
        <v>50</v>
      </c>
      <c r="D470" s="22" t="s">
        <v>111</v>
      </c>
      <c r="E470" s="22" t="s">
        <v>81</v>
      </c>
    </row>
    <row r="471" spans="1:5" x14ac:dyDescent="0.25">
      <c r="A471" s="21" t="s">
        <v>67</v>
      </c>
      <c r="B471" s="22" t="s">
        <v>720</v>
      </c>
      <c r="C471" s="43">
        <v>2122</v>
      </c>
      <c r="D471" s="22" t="s">
        <v>107</v>
      </c>
      <c r="E471" s="22" t="s">
        <v>81</v>
      </c>
    </row>
    <row r="472" spans="1:5" x14ac:dyDescent="0.25">
      <c r="A472" s="21" t="s">
        <v>721</v>
      </c>
      <c r="B472" s="22" t="s">
        <v>677</v>
      </c>
      <c r="C472" s="43">
        <v>280</v>
      </c>
      <c r="D472" s="22" t="s">
        <v>111</v>
      </c>
      <c r="E472" s="22" t="s">
        <v>81</v>
      </c>
    </row>
    <row r="473" spans="1:5" x14ac:dyDescent="0.25">
      <c r="A473" s="21" t="s">
        <v>722</v>
      </c>
      <c r="B473" s="22" t="s">
        <v>177</v>
      </c>
      <c r="C473" s="43">
        <v>115</v>
      </c>
      <c r="D473" s="22" t="s">
        <v>111</v>
      </c>
      <c r="E473" s="22" t="s">
        <v>81</v>
      </c>
    </row>
    <row r="474" spans="1:5" x14ac:dyDescent="0.25">
      <c r="A474" s="21" t="s">
        <v>722</v>
      </c>
      <c r="B474" s="22" t="s">
        <v>131</v>
      </c>
      <c r="C474" s="43">
        <v>35</v>
      </c>
      <c r="D474" s="22" t="s">
        <v>101</v>
      </c>
      <c r="E474" s="22" t="s">
        <v>81</v>
      </c>
    </row>
    <row r="475" spans="1:5" x14ac:dyDescent="0.25">
      <c r="A475" s="21" t="s">
        <v>722</v>
      </c>
      <c r="B475" s="22" t="s">
        <v>723</v>
      </c>
      <c r="C475" s="43">
        <v>380</v>
      </c>
      <c r="D475" s="22" t="s">
        <v>111</v>
      </c>
      <c r="E475" s="22" t="s">
        <v>81</v>
      </c>
    </row>
    <row r="476" spans="1:5" x14ac:dyDescent="0.25">
      <c r="A476" s="21" t="s">
        <v>722</v>
      </c>
      <c r="B476" s="22" t="s">
        <v>724</v>
      </c>
      <c r="C476" s="43">
        <v>10800</v>
      </c>
      <c r="D476" s="22" t="s">
        <v>197</v>
      </c>
      <c r="E476" s="22" t="s">
        <v>81</v>
      </c>
    </row>
    <row r="477" spans="1:5" x14ac:dyDescent="0.25">
      <c r="A477" s="21" t="s">
        <v>725</v>
      </c>
      <c r="B477" s="22" t="s">
        <v>726</v>
      </c>
      <c r="C477" s="43">
        <v>900</v>
      </c>
      <c r="D477" s="22" t="s">
        <v>197</v>
      </c>
      <c r="E477" s="22" t="s">
        <v>81</v>
      </c>
    </row>
    <row r="478" spans="1:5" x14ac:dyDescent="0.25">
      <c r="A478" s="21" t="s">
        <v>69</v>
      </c>
      <c r="B478" s="22" t="s">
        <v>727</v>
      </c>
      <c r="C478" s="43">
        <v>449</v>
      </c>
      <c r="D478" s="22" t="s">
        <v>102</v>
      </c>
      <c r="E478" s="22" t="s">
        <v>81</v>
      </c>
    </row>
    <row r="479" spans="1:5" x14ac:dyDescent="0.25">
      <c r="A479" s="21" t="s">
        <v>69</v>
      </c>
      <c r="B479" s="22" t="s">
        <v>677</v>
      </c>
      <c r="C479" s="43">
        <v>200</v>
      </c>
      <c r="D479" s="22" t="s">
        <v>111</v>
      </c>
      <c r="E479" s="22" t="s">
        <v>81</v>
      </c>
    </row>
    <row r="480" spans="1:5" x14ac:dyDescent="0.25">
      <c r="A480" s="21" t="s">
        <v>69</v>
      </c>
      <c r="B480" s="22" t="s">
        <v>728</v>
      </c>
      <c r="C480" s="43">
        <v>22500</v>
      </c>
      <c r="D480" s="22" t="s">
        <v>103</v>
      </c>
      <c r="E480" s="22" t="s">
        <v>81</v>
      </c>
    </row>
    <row r="481" spans="1:5" x14ac:dyDescent="0.25">
      <c r="A481" s="21" t="s">
        <v>729</v>
      </c>
      <c r="B481" s="22" t="s">
        <v>730</v>
      </c>
      <c r="C481" s="43">
        <v>410</v>
      </c>
      <c r="D481" s="22" t="s">
        <v>105</v>
      </c>
      <c r="E481" s="22" t="s">
        <v>81</v>
      </c>
    </row>
    <row r="482" spans="1:5" x14ac:dyDescent="0.25">
      <c r="A482" s="21" t="s">
        <v>731</v>
      </c>
      <c r="B482" s="22" t="s">
        <v>732</v>
      </c>
      <c r="C482" s="43">
        <v>2000</v>
      </c>
      <c r="D482" s="22" t="s">
        <v>106</v>
      </c>
      <c r="E482" s="22" t="s">
        <v>81</v>
      </c>
    </row>
    <row r="483" spans="1:5" x14ac:dyDescent="0.25">
      <c r="A483" s="21" t="s">
        <v>731</v>
      </c>
      <c r="B483" s="22" t="s">
        <v>270</v>
      </c>
      <c r="C483" s="43">
        <v>5100</v>
      </c>
      <c r="D483" s="22" t="s">
        <v>106</v>
      </c>
      <c r="E483" s="22" t="s">
        <v>81</v>
      </c>
    </row>
    <row r="484" spans="1:5" x14ac:dyDescent="0.25">
      <c r="A484" s="21" t="s">
        <v>733</v>
      </c>
      <c r="B484" s="22" t="s">
        <v>734</v>
      </c>
      <c r="C484" s="43">
        <v>5003</v>
      </c>
      <c r="D484" s="22" t="s">
        <v>102</v>
      </c>
      <c r="E484" s="22" t="s">
        <v>81</v>
      </c>
    </row>
    <row r="485" spans="1:5" x14ac:dyDescent="0.25">
      <c r="A485" s="21" t="s">
        <v>735</v>
      </c>
      <c r="B485" s="22" t="s">
        <v>736</v>
      </c>
      <c r="C485" s="43">
        <v>688</v>
      </c>
      <c r="D485" s="22" t="s">
        <v>102</v>
      </c>
      <c r="E485" s="22" t="s">
        <v>81</v>
      </c>
    </row>
    <row r="486" spans="1:5" x14ac:dyDescent="0.25">
      <c r="A486" s="21" t="s">
        <v>735</v>
      </c>
      <c r="B486" s="22" t="s">
        <v>737</v>
      </c>
      <c r="C486" s="43">
        <v>194</v>
      </c>
      <c r="D486" s="22" t="s">
        <v>102</v>
      </c>
      <c r="E486" s="22" t="s">
        <v>81</v>
      </c>
    </row>
    <row r="487" spans="1:5" x14ac:dyDescent="0.25">
      <c r="A487" s="21" t="s">
        <v>735</v>
      </c>
      <c r="B487" s="22" t="s">
        <v>150</v>
      </c>
      <c r="C487" s="43">
        <v>100</v>
      </c>
      <c r="D487" s="22" t="s">
        <v>111</v>
      </c>
      <c r="E487" s="22" t="s">
        <v>81</v>
      </c>
    </row>
    <row r="488" spans="1:5" x14ac:dyDescent="0.25">
      <c r="A488" s="21" t="s">
        <v>735</v>
      </c>
      <c r="B488" s="22" t="s">
        <v>738</v>
      </c>
      <c r="C488" s="43">
        <v>419</v>
      </c>
      <c r="D488" s="22" t="s">
        <v>102</v>
      </c>
      <c r="E488" s="22" t="s">
        <v>81</v>
      </c>
    </row>
    <row r="489" spans="1:5" x14ac:dyDescent="0.25">
      <c r="A489" s="21" t="s">
        <v>735</v>
      </c>
      <c r="B489" s="22" t="s">
        <v>739</v>
      </c>
      <c r="C489" s="43">
        <v>175</v>
      </c>
      <c r="D489" s="22" t="s">
        <v>109</v>
      </c>
      <c r="E489" s="22" t="s">
        <v>81</v>
      </c>
    </row>
    <row r="490" spans="1:5" x14ac:dyDescent="0.25">
      <c r="A490" s="21" t="s">
        <v>740</v>
      </c>
      <c r="B490" s="22" t="s">
        <v>741</v>
      </c>
      <c r="C490" s="43">
        <v>100</v>
      </c>
      <c r="D490" s="22" t="s">
        <v>111</v>
      </c>
      <c r="E490" s="22" t="s">
        <v>81</v>
      </c>
    </row>
    <row r="491" spans="1:5" x14ac:dyDescent="0.25">
      <c r="A491" s="21" t="s">
        <v>740</v>
      </c>
      <c r="B491" s="22" t="s">
        <v>177</v>
      </c>
      <c r="C491" s="43">
        <v>185</v>
      </c>
      <c r="D491" s="22" t="s">
        <v>111</v>
      </c>
      <c r="E491" s="22" t="s">
        <v>81</v>
      </c>
    </row>
    <row r="492" spans="1:5" x14ac:dyDescent="0.25">
      <c r="A492" s="21" t="s">
        <v>740</v>
      </c>
      <c r="B492" s="22" t="s">
        <v>742</v>
      </c>
      <c r="C492" s="43">
        <v>502</v>
      </c>
      <c r="D492" s="22" t="s">
        <v>111</v>
      </c>
      <c r="E492" s="22" t="s">
        <v>81</v>
      </c>
    </row>
    <row r="493" spans="1:5" x14ac:dyDescent="0.25">
      <c r="A493" s="21" t="s">
        <v>743</v>
      </c>
      <c r="B493" s="22" t="s">
        <v>237</v>
      </c>
      <c r="C493" s="43">
        <v>37</v>
      </c>
      <c r="D493" s="22" t="s">
        <v>109</v>
      </c>
      <c r="E493" s="22" t="s">
        <v>81</v>
      </c>
    </row>
    <row r="494" spans="1:5" x14ac:dyDescent="0.25">
      <c r="A494" s="21" t="s">
        <v>744</v>
      </c>
      <c r="B494" s="22" t="s">
        <v>745</v>
      </c>
      <c r="C494" s="43">
        <v>1057</v>
      </c>
      <c r="D494" s="22" t="s">
        <v>102</v>
      </c>
      <c r="E494" s="22" t="s">
        <v>81</v>
      </c>
    </row>
    <row r="495" spans="1:5" x14ac:dyDescent="0.25">
      <c r="A495" s="21" t="s">
        <v>746</v>
      </c>
      <c r="B495" s="22" t="s">
        <v>747</v>
      </c>
      <c r="C495" s="43">
        <v>649</v>
      </c>
      <c r="D495" s="22" t="s">
        <v>109</v>
      </c>
      <c r="E495" s="22" t="s">
        <v>81</v>
      </c>
    </row>
    <row r="496" spans="1:5" x14ac:dyDescent="0.25">
      <c r="A496" s="21" t="s">
        <v>746</v>
      </c>
      <c r="B496" s="22" t="s">
        <v>748</v>
      </c>
      <c r="C496" s="43">
        <v>250</v>
      </c>
      <c r="D496" s="22" t="s">
        <v>109</v>
      </c>
      <c r="E496" s="22" t="s">
        <v>81</v>
      </c>
    </row>
    <row r="497" spans="1:5" x14ac:dyDescent="0.25">
      <c r="A497" s="21" t="s">
        <v>746</v>
      </c>
      <c r="B497" s="22" t="s">
        <v>749</v>
      </c>
      <c r="C497" s="43">
        <v>3000</v>
      </c>
      <c r="D497" s="22" t="s">
        <v>109</v>
      </c>
      <c r="E497" s="22" t="s">
        <v>81</v>
      </c>
    </row>
    <row r="498" spans="1:5" x14ac:dyDescent="0.25">
      <c r="A498" s="21" t="s">
        <v>746</v>
      </c>
      <c r="B498" s="22" t="s">
        <v>750</v>
      </c>
      <c r="C498" s="43">
        <v>500</v>
      </c>
      <c r="D498" s="22" t="s">
        <v>109</v>
      </c>
      <c r="E498" s="22" t="s">
        <v>81</v>
      </c>
    </row>
    <row r="499" spans="1:5" x14ac:dyDescent="0.25">
      <c r="A499" s="21" t="s">
        <v>746</v>
      </c>
      <c r="B499" s="22" t="s">
        <v>751</v>
      </c>
      <c r="C499" s="43">
        <v>180</v>
      </c>
      <c r="D499" s="22" t="s">
        <v>111</v>
      </c>
      <c r="E499" s="22" t="s">
        <v>81</v>
      </c>
    </row>
    <row r="500" spans="1:5" x14ac:dyDescent="0.25">
      <c r="A500" s="21" t="s">
        <v>746</v>
      </c>
      <c r="B500" s="22" t="s">
        <v>752</v>
      </c>
      <c r="C500" s="43">
        <v>50</v>
      </c>
      <c r="D500" s="22" t="s">
        <v>109</v>
      </c>
      <c r="E500" s="22" t="s">
        <v>81</v>
      </c>
    </row>
    <row r="501" spans="1:5" x14ac:dyDescent="0.25">
      <c r="A501" s="21" t="s">
        <v>746</v>
      </c>
      <c r="B501" s="22" t="s">
        <v>753</v>
      </c>
      <c r="C501" s="43">
        <v>780</v>
      </c>
      <c r="D501" s="22" t="s">
        <v>104</v>
      </c>
      <c r="E501" s="22" t="s">
        <v>81</v>
      </c>
    </row>
    <row r="502" spans="1:5" x14ac:dyDescent="0.25">
      <c r="A502" s="21" t="s">
        <v>754</v>
      </c>
      <c r="B502" s="22" t="s">
        <v>160</v>
      </c>
      <c r="C502" s="43">
        <v>40</v>
      </c>
      <c r="D502" s="22" t="s">
        <v>111</v>
      </c>
      <c r="E502" s="22" t="s">
        <v>81</v>
      </c>
    </row>
    <row r="503" spans="1:5" x14ac:dyDescent="0.25">
      <c r="A503" s="21" t="s">
        <v>755</v>
      </c>
      <c r="B503" s="22" t="s">
        <v>756</v>
      </c>
      <c r="C503" s="43">
        <v>381</v>
      </c>
      <c r="D503" s="22" t="s">
        <v>102</v>
      </c>
      <c r="E503" s="22" t="s">
        <v>81</v>
      </c>
    </row>
    <row r="504" spans="1:5" x14ac:dyDescent="0.25">
      <c r="A504" s="21" t="s">
        <v>755</v>
      </c>
      <c r="B504" s="22" t="s">
        <v>757</v>
      </c>
      <c r="C504" s="43">
        <v>1254</v>
      </c>
      <c r="D504" s="22" t="s">
        <v>109</v>
      </c>
      <c r="E504" s="22" t="s">
        <v>81</v>
      </c>
    </row>
    <row r="505" spans="1:5" x14ac:dyDescent="0.25">
      <c r="A505" s="21" t="s">
        <v>755</v>
      </c>
      <c r="B505" s="22" t="s">
        <v>758</v>
      </c>
      <c r="C505" s="43">
        <v>205</v>
      </c>
      <c r="D505" s="22" t="s">
        <v>102</v>
      </c>
      <c r="E505" s="22" t="s">
        <v>81</v>
      </c>
    </row>
    <row r="506" spans="1:5" x14ac:dyDescent="0.25">
      <c r="A506" s="21" t="s">
        <v>755</v>
      </c>
      <c r="B506" s="22" t="s">
        <v>680</v>
      </c>
      <c r="C506" s="43">
        <v>220</v>
      </c>
      <c r="D506" s="22" t="s">
        <v>111</v>
      </c>
      <c r="E506" s="22" t="s">
        <v>81</v>
      </c>
    </row>
    <row r="507" spans="1:5" x14ac:dyDescent="0.25">
      <c r="A507" s="21" t="s">
        <v>755</v>
      </c>
      <c r="B507" s="22" t="s">
        <v>759</v>
      </c>
      <c r="C507" s="43">
        <v>90</v>
      </c>
      <c r="D507" s="22" t="s">
        <v>111</v>
      </c>
      <c r="E507" s="22" t="s">
        <v>81</v>
      </c>
    </row>
    <row r="508" spans="1:5" x14ac:dyDescent="0.25">
      <c r="A508" s="21" t="s">
        <v>755</v>
      </c>
      <c r="B508" s="22" t="s">
        <v>760</v>
      </c>
      <c r="C508" s="43">
        <v>140</v>
      </c>
      <c r="D508" s="22" t="s">
        <v>102</v>
      </c>
      <c r="E508" s="22" t="s">
        <v>81</v>
      </c>
    </row>
    <row r="509" spans="1:5" x14ac:dyDescent="0.25">
      <c r="A509" s="21" t="s">
        <v>755</v>
      </c>
      <c r="B509" s="22" t="s">
        <v>761</v>
      </c>
      <c r="C509" s="43">
        <v>70</v>
      </c>
      <c r="D509" s="22" t="s">
        <v>109</v>
      </c>
      <c r="E509" s="22" t="s">
        <v>81</v>
      </c>
    </row>
    <row r="510" spans="1:5" x14ac:dyDescent="0.25">
      <c r="A510" s="21" t="s">
        <v>755</v>
      </c>
      <c r="B510" s="22" t="s">
        <v>762</v>
      </c>
      <c r="C510" s="43">
        <v>150</v>
      </c>
      <c r="D510" s="22" t="s">
        <v>109</v>
      </c>
      <c r="E510" s="22" t="s">
        <v>81</v>
      </c>
    </row>
    <row r="511" spans="1:5" x14ac:dyDescent="0.25">
      <c r="A511" s="21" t="s">
        <v>755</v>
      </c>
      <c r="B511" s="22" t="s">
        <v>763</v>
      </c>
      <c r="C511" s="43">
        <v>185</v>
      </c>
      <c r="D511" s="22" t="s">
        <v>109</v>
      </c>
      <c r="E511" s="22" t="s">
        <v>81</v>
      </c>
    </row>
    <row r="512" spans="1:5" x14ac:dyDescent="0.25">
      <c r="A512" s="21" t="s">
        <v>755</v>
      </c>
      <c r="B512" s="22" t="s">
        <v>764</v>
      </c>
      <c r="C512" s="43">
        <v>65</v>
      </c>
      <c r="D512" s="22" t="s">
        <v>109</v>
      </c>
      <c r="E512" s="22" t="s">
        <v>81</v>
      </c>
    </row>
    <row r="513" spans="1:5" x14ac:dyDescent="0.25">
      <c r="A513" s="21" t="s">
        <v>755</v>
      </c>
      <c r="B513" s="22" t="s">
        <v>765</v>
      </c>
      <c r="C513" s="43">
        <v>80</v>
      </c>
      <c r="D513" s="22" t="s">
        <v>109</v>
      </c>
      <c r="E513" s="22" t="s">
        <v>81</v>
      </c>
    </row>
    <row r="514" spans="1:5" x14ac:dyDescent="0.25">
      <c r="A514" s="21" t="s">
        <v>766</v>
      </c>
      <c r="B514" s="22" t="s">
        <v>767</v>
      </c>
      <c r="C514" s="43">
        <v>4904</v>
      </c>
      <c r="D514" s="22" t="s">
        <v>104</v>
      </c>
      <c r="E514" s="22" t="s">
        <v>81</v>
      </c>
    </row>
    <row r="515" spans="1:5" x14ac:dyDescent="0.25">
      <c r="A515" s="21" t="s">
        <v>768</v>
      </c>
      <c r="B515" s="22" t="s">
        <v>769</v>
      </c>
      <c r="C515" s="43">
        <v>78</v>
      </c>
      <c r="D515" s="22" t="s">
        <v>109</v>
      </c>
      <c r="E515" s="22" t="s">
        <v>81</v>
      </c>
    </row>
    <row r="516" spans="1:5" x14ac:dyDescent="0.25">
      <c r="A516" s="21" t="s">
        <v>770</v>
      </c>
      <c r="B516" s="22" t="s">
        <v>771</v>
      </c>
      <c r="C516" s="43">
        <v>310</v>
      </c>
      <c r="D516" s="22" t="s">
        <v>109</v>
      </c>
      <c r="E516" s="22" t="s">
        <v>81</v>
      </c>
    </row>
    <row r="517" spans="1:5" x14ac:dyDescent="0.25">
      <c r="A517" s="21" t="s">
        <v>772</v>
      </c>
      <c r="B517" s="22" t="s">
        <v>773</v>
      </c>
      <c r="C517" s="43">
        <v>243</v>
      </c>
      <c r="D517" s="22" t="s">
        <v>109</v>
      </c>
      <c r="E517" s="22" t="s">
        <v>81</v>
      </c>
    </row>
    <row r="518" spans="1:5" x14ac:dyDescent="0.25">
      <c r="A518" s="21" t="s">
        <v>772</v>
      </c>
      <c r="B518" s="22" t="s">
        <v>195</v>
      </c>
      <c r="C518" s="43">
        <v>870</v>
      </c>
      <c r="D518" s="22" t="s">
        <v>107</v>
      </c>
      <c r="E518" s="22" t="s">
        <v>81</v>
      </c>
    </row>
    <row r="519" spans="1:5" x14ac:dyDescent="0.25">
      <c r="A519" s="21" t="s">
        <v>772</v>
      </c>
      <c r="B519" s="22" t="s">
        <v>774</v>
      </c>
      <c r="C519" s="43">
        <v>180</v>
      </c>
      <c r="D519" s="22" t="s">
        <v>111</v>
      </c>
      <c r="E519" s="22" t="s">
        <v>81</v>
      </c>
    </row>
    <row r="520" spans="1:5" x14ac:dyDescent="0.25">
      <c r="A520" s="21" t="s">
        <v>772</v>
      </c>
      <c r="B520" s="22" t="s">
        <v>505</v>
      </c>
      <c r="C520" s="43">
        <v>440</v>
      </c>
      <c r="D520" s="22" t="s">
        <v>101</v>
      </c>
      <c r="E520" s="22" t="s">
        <v>81</v>
      </c>
    </row>
    <row r="521" spans="1:5" x14ac:dyDescent="0.25">
      <c r="A521" s="21" t="s">
        <v>772</v>
      </c>
      <c r="B521" s="22" t="s">
        <v>192</v>
      </c>
      <c r="C521" s="43">
        <v>500</v>
      </c>
      <c r="D521" s="22" t="s">
        <v>109</v>
      </c>
      <c r="E521" s="22" t="s">
        <v>81</v>
      </c>
    </row>
    <row r="522" spans="1:5" x14ac:dyDescent="0.25">
      <c r="A522" s="21" t="s">
        <v>772</v>
      </c>
      <c r="B522" s="22" t="s">
        <v>623</v>
      </c>
      <c r="C522" s="43">
        <v>28.5</v>
      </c>
      <c r="D522" s="22" t="s">
        <v>109</v>
      </c>
      <c r="E522" s="22" t="s">
        <v>81</v>
      </c>
    </row>
    <row r="523" spans="1:5" x14ac:dyDescent="0.25">
      <c r="A523" s="21" t="s">
        <v>775</v>
      </c>
      <c r="B523" s="22" t="s">
        <v>102</v>
      </c>
      <c r="C523" s="45">
        <v>1049</v>
      </c>
      <c r="D523" s="22" t="s">
        <v>102</v>
      </c>
      <c r="E523" s="22" t="s">
        <v>82</v>
      </c>
    </row>
    <row r="524" spans="1:5" x14ac:dyDescent="0.25">
      <c r="A524" s="21" t="s">
        <v>776</v>
      </c>
      <c r="B524" s="22" t="s">
        <v>777</v>
      </c>
      <c r="C524" s="45">
        <v>125</v>
      </c>
      <c r="D524" s="22" t="s">
        <v>111</v>
      </c>
      <c r="E524" s="22" t="s">
        <v>82</v>
      </c>
    </row>
    <row r="525" spans="1:5" x14ac:dyDescent="0.25">
      <c r="A525" s="21" t="s">
        <v>776</v>
      </c>
      <c r="B525" s="22" t="s">
        <v>618</v>
      </c>
      <c r="C525" s="45">
        <v>340</v>
      </c>
      <c r="D525" s="22" t="s">
        <v>102</v>
      </c>
      <c r="E525" s="22" t="s">
        <v>82</v>
      </c>
    </row>
    <row r="526" spans="1:5" x14ac:dyDescent="0.25">
      <c r="A526" s="21" t="s">
        <v>776</v>
      </c>
      <c r="B526" s="22" t="s">
        <v>128</v>
      </c>
      <c r="C526" s="45">
        <v>316</v>
      </c>
      <c r="D526" s="22" t="s">
        <v>109</v>
      </c>
      <c r="E526" s="22" t="s">
        <v>82</v>
      </c>
    </row>
    <row r="527" spans="1:5" x14ac:dyDescent="0.25">
      <c r="A527" s="21" t="s">
        <v>776</v>
      </c>
      <c r="B527" s="22" t="s">
        <v>778</v>
      </c>
      <c r="C527" s="45">
        <v>20</v>
      </c>
      <c r="D527" s="22" t="s">
        <v>111</v>
      </c>
      <c r="E527" s="22" t="s">
        <v>82</v>
      </c>
    </row>
    <row r="528" spans="1:5" x14ac:dyDescent="0.25">
      <c r="A528" s="21" t="s">
        <v>776</v>
      </c>
      <c r="B528" s="22" t="s">
        <v>779</v>
      </c>
      <c r="C528" s="45">
        <v>4330</v>
      </c>
      <c r="D528" s="22" t="s">
        <v>99</v>
      </c>
      <c r="E528" s="22" t="s">
        <v>82</v>
      </c>
    </row>
    <row r="529" spans="1:5" x14ac:dyDescent="0.25">
      <c r="A529" s="21" t="s">
        <v>75</v>
      </c>
      <c r="B529" s="22" t="s">
        <v>445</v>
      </c>
      <c r="C529" s="45">
        <v>503</v>
      </c>
      <c r="D529" s="22" t="s">
        <v>111</v>
      </c>
      <c r="E529" s="22" t="s">
        <v>82</v>
      </c>
    </row>
    <row r="530" spans="1:5" x14ac:dyDescent="0.25">
      <c r="A530" s="21" t="s">
        <v>75</v>
      </c>
      <c r="B530" s="22" t="s">
        <v>780</v>
      </c>
      <c r="C530" s="45">
        <v>540</v>
      </c>
      <c r="D530" s="22" t="s">
        <v>105</v>
      </c>
      <c r="E530" s="22" t="s">
        <v>82</v>
      </c>
    </row>
    <row r="531" spans="1:5" x14ac:dyDescent="0.25">
      <c r="A531" s="21" t="s">
        <v>781</v>
      </c>
      <c r="B531" s="22" t="s">
        <v>782</v>
      </c>
      <c r="C531" s="45">
        <v>220</v>
      </c>
      <c r="D531" s="22" t="s">
        <v>102</v>
      </c>
      <c r="E531" s="22" t="s">
        <v>82</v>
      </c>
    </row>
    <row r="532" spans="1:5" x14ac:dyDescent="0.25">
      <c r="A532" s="21" t="s">
        <v>781</v>
      </c>
      <c r="B532" s="22" t="s">
        <v>783</v>
      </c>
      <c r="C532" s="45">
        <v>666</v>
      </c>
      <c r="D532" s="22" t="s">
        <v>109</v>
      </c>
      <c r="E532" s="22" t="s">
        <v>82</v>
      </c>
    </row>
    <row r="533" spans="1:5" x14ac:dyDescent="0.25">
      <c r="A533" s="21" t="s">
        <v>784</v>
      </c>
      <c r="B533" s="22" t="s">
        <v>785</v>
      </c>
      <c r="C533" s="45">
        <v>8000</v>
      </c>
      <c r="D533" s="22" t="s">
        <v>106</v>
      </c>
      <c r="E533" s="22" t="s">
        <v>82</v>
      </c>
    </row>
    <row r="534" spans="1:5" x14ac:dyDescent="0.25">
      <c r="A534" s="21" t="s">
        <v>786</v>
      </c>
      <c r="B534" s="22" t="s">
        <v>787</v>
      </c>
      <c r="C534" s="45">
        <v>22500</v>
      </c>
      <c r="D534" s="22" t="s">
        <v>103</v>
      </c>
      <c r="E534" s="22" t="s">
        <v>82</v>
      </c>
    </row>
    <row r="535" spans="1:5" x14ac:dyDescent="0.25">
      <c r="A535" s="21" t="s">
        <v>786</v>
      </c>
      <c r="B535" s="22" t="s">
        <v>788</v>
      </c>
      <c r="C535" s="45">
        <v>536</v>
      </c>
      <c r="D535" s="22" t="s">
        <v>101</v>
      </c>
      <c r="E535" s="22" t="s">
        <v>82</v>
      </c>
    </row>
    <row r="536" spans="1:5" x14ac:dyDescent="0.25">
      <c r="A536" s="21" t="s">
        <v>786</v>
      </c>
      <c r="B536" s="22" t="s">
        <v>448</v>
      </c>
      <c r="C536" s="45">
        <v>1109</v>
      </c>
      <c r="D536" s="22" t="s">
        <v>100</v>
      </c>
      <c r="E536" s="22" t="s">
        <v>82</v>
      </c>
    </row>
    <row r="537" spans="1:5" x14ac:dyDescent="0.25">
      <c r="A537" s="21" t="s">
        <v>789</v>
      </c>
      <c r="B537" s="22" t="s">
        <v>790</v>
      </c>
      <c r="C537" s="45">
        <v>5182</v>
      </c>
      <c r="D537" s="22" t="s">
        <v>102</v>
      </c>
      <c r="E537" s="22" t="s">
        <v>82</v>
      </c>
    </row>
    <row r="538" spans="1:5" x14ac:dyDescent="0.25">
      <c r="A538" s="21" t="s">
        <v>791</v>
      </c>
      <c r="B538" s="22" t="s">
        <v>792</v>
      </c>
      <c r="C538" s="45">
        <v>58</v>
      </c>
      <c r="D538" s="22" t="s">
        <v>111</v>
      </c>
      <c r="E538" s="22" t="s">
        <v>82</v>
      </c>
    </row>
    <row r="539" spans="1:5" x14ac:dyDescent="0.25">
      <c r="A539" s="21" t="s">
        <v>793</v>
      </c>
      <c r="B539" s="22" t="s">
        <v>730</v>
      </c>
      <c r="C539" s="45">
        <v>170</v>
      </c>
      <c r="D539" s="22" t="s">
        <v>105</v>
      </c>
      <c r="E539" s="22" t="s">
        <v>82</v>
      </c>
    </row>
    <row r="540" spans="1:5" x14ac:dyDescent="0.25">
      <c r="A540" s="21" t="s">
        <v>793</v>
      </c>
      <c r="B540" s="22" t="s">
        <v>794</v>
      </c>
      <c r="C540" s="45">
        <v>219</v>
      </c>
      <c r="D540" s="22" t="s">
        <v>111</v>
      </c>
      <c r="E540" s="22" t="s">
        <v>82</v>
      </c>
    </row>
    <row r="541" spans="1:5" x14ac:dyDescent="0.25">
      <c r="A541" s="21" t="s">
        <v>793</v>
      </c>
      <c r="B541" s="22" t="s">
        <v>795</v>
      </c>
      <c r="C541" s="45">
        <v>190</v>
      </c>
      <c r="D541" s="22" t="s">
        <v>102</v>
      </c>
      <c r="E541" s="22" t="s">
        <v>82</v>
      </c>
    </row>
    <row r="542" spans="1:5" x14ac:dyDescent="0.25">
      <c r="A542" s="21" t="s">
        <v>793</v>
      </c>
      <c r="B542" s="22" t="s">
        <v>677</v>
      </c>
      <c r="C542" s="45">
        <v>890</v>
      </c>
      <c r="D542" s="22" t="s">
        <v>111</v>
      </c>
      <c r="E542" s="22" t="s">
        <v>82</v>
      </c>
    </row>
    <row r="543" spans="1:5" x14ac:dyDescent="0.25">
      <c r="A543" s="21" t="s">
        <v>796</v>
      </c>
      <c r="B543" s="22" t="s">
        <v>584</v>
      </c>
      <c r="C543" s="45">
        <v>35</v>
      </c>
      <c r="D543" s="22" t="s">
        <v>102</v>
      </c>
      <c r="E543" s="22" t="s">
        <v>82</v>
      </c>
    </row>
    <row r="544" spans="1:5" x14ac:dyDescent="0.25">
      <c r="A544" s="21" t="s">
        <v>796</v>
      </c>
      <c r="B544" s="22" t="s">
        <v>797</v>
      </c>
      <c r="C544" s="45">
        <v>180</v>
      </c>
      <c r="D544" s="22" t="s">
        <v>111</v>
      </c>
      <c r="E544" s="22" t="s">
        <v>82</v>
      </c>
    </row>
    <row r="545" spans="1:5" x14ac:dyDescent="0.25">
      <c r="A545" s="21" t="s">
        <v>798</v>
      </c>
      <c r="B545" s="22" t="s">
        <v>799</v>
      </c>
      <c r="C545" s="45">
        <v>740</v>
      </c>
      <c r="D545" s="22" t="s">
        <v>104</v>
      </c>
      <c r="E545" s="22" t="s">
        <v>82</v>
      </c>
    </row>
    <row r="546" spans="1:5" x14ac:dyDescent="0.25">
      <c r="A546" s="21" t="s">
        <v>800</v>
      </c>
      <c r="B546" s="22" t="s">
        <v>801</v>
      </c>
      <c r="C546" s="45">
        <v>320</v>
      </c>
      <c r="D546" s="22" t="s">
        <v>111</v>
      </c>
      <c r="E546" s="22" t="s">
        <v>82</v>
      </c>
    </row>
    <row r="547" spans="1:5" x14ac:dyDescent="0.25">
      <c r="A547" s="21" t="s">
        <v>800</v>
      </c>
      <c r="B547" s="22" t="s">
        <v>102</v>
      </c>
      <c r="C547" s="45">
        <v>1624</v>
      </c>
      <c r="D547" s="22" t="s">
        <v>109</v>
      </c>
      <c r="E547" s="22" t="s">
        <v>82</v>
      </c>
    </row>
    <row r="548" spans="1:5" x14ac:dyDescent="0.25">
      <c r="A548" s="21" t="s">
        <v>800</v>
      </c>
      <c r="B548" s="22" t="s">
        <v>802</v>
      </c>
      <c r="C548" s="45">
        <v>649</v>
      </c>
      <c r="D548" s="22" t="s">
        <v>109</v>
      </c>
      <c r="E548" s="22" t="s">
        <v>82</v>
      </c>
    </row>
    <row r="549" spans="1:5" x14ac:dyDescent="0.25">
      <c r="A549" s="21" t="s">
        <v>800</v>
      </c>
      <c r="B549" s="22" t="s">
        <v>192</v>
      </c>
      <c r="C549" s="45">
        <v>500</v>
      </c>
      <c r="D549" s="22" t="s">
        <v>111</v>
      </c>
      <c r="E549" s="22" t="s">
        <v>82</v>
      </c>
    </row>
    <row r="550" spans="1:5" x14ac:dyDescent="0.25">
      <c r="A550" s="21" t="s">
        <v>800</v>
      </c>
      <c r="B550" s="22" t="s">
        <v>803</v>
      </c>
      <c r="C550" s="45">
        <v>168</v>
      </c>
      <c r="D550" s="22" t="s">
        <v>104</v>
      </c>
      <c r="E550" s="22" t="s">
        <v>82</v>
      </c>
    </row>
    <row r="551" spans="1:5" x14ac:dyDescent="0.25">
      <c r="A551" s="21" t="s">
        <v>800</v>
      </c>
      <c r="B551" s="22" t="s">
        <v>804</v>
      </c>
      <c r="C551" s="45">
        <v>710</v>
      </c>
      <c r="D551" s="22" t="s">
        <v>109</v>
      </c>
      <c r="E551" s="22" t="s">
        <v>82</v>
      </c>
    </row>
    <row r="552" spans="1:5" x14ac:dyDescent="0.25">
      <c r="A552" s="21" t="s">
        <v>805</v>
      </c>
      <c r="B552" s="22" t="s">
        <v>128</v>
      </c>
      <c r="C552" s="45">
        <v>85</v>
      </c>
      <c r="D552" s="22" t="s">
        <v>109</v>
      </c>
      <c r="E552" s="22" t="s">
        <v>82</v>
      </c>
    </row>
    <row r="553" spans="1:5" x14ac:dyDescent="0.25">
      <c r="A553" s="21" t="s">
        <v>78</v>
      </c>
      <c r="B553" s="22" t="s">
        <v>445</v>
      </c>
      <c r="C553" s="45">
        <v>224</v>
      </c>
      <c r="D553" s="22" t="s">
        <v>102</v>
      </c>
      <c r="E553" s="22" t="s">
        <v>82</v>
      </c>
    </row>
    <row r="554" spans="1:5" x14ac:dyDescent="0.25">
      <c r="A554" s="21" t="s">
        <v>806</v>
      </c>
      <c r="B554" s="22" t="s">
        <v>807</v>
      </c>
      <c r="C554" s="45">
        <v>6543</v>
      </c>
      <c r="D554" s="22" t="s">
        <v>112</v>
      </c>
      <c r="E554" s="22" t="s">
        <v>82</v>
      </c>
    </row>
    <row r="555" spans="1:5" x14ac:dyDescent="0.25">
      <c r="A555" s="21" t="s">
        <v>808</v>
      </c>
      <c r="B555" s="22" t="s">
        <v>237</v>
      </c>
      <c r="C555" s="45">
        <v>40</v>
      </c>
      <c r="D555" s="22" t="s">
        <v>109</v>
      </c>
      <c r="E555" s="22" t="s">
        <v>82</v>
      </c>
    </row>
    <row r="556" spans="1:5" x14ac:dyDescent="0.25">
      <c r="A556" s="21" t="s">
        <v>808</v>
      </c>
      <c r="B556" s="22" t="s">
        <v>809</v>
      </c>
      <c r="C556" s="45">
        <v>140</v>
      </c>
      <c r="D556" s="22" t="s">
        <v>102</v>
      </c>
      <c r="E556" s="22" t="s">
        <v>82</v>
      </c>
    </row>
    <row r="557" spans="1:5" x14ac:dyDescent="0.25">
      <c r="A557" s="21" t="s">
        <v>810</v>
      </c>
      <c r="B557" s="22" t="s">
        <v>445</v>
      </c>
      <c r="C557" s="45">
        <v>220</v>
      </c>
      <c r="D557" s="22" t="s">
        <v>109</v>
      </c>
      <c r="E557" s="22" t="s">
        <v>82</v>
      </c>
    </row>
    <row r="558" spans="1:5" x14ac:dyDescent="0.25">
      <c r="A558" s="21" t="s">
        <v>811</v>
      </c>
      <c r="B558" s="22" t="s">
        <v>195</v>
      </c>
      <c r="C558" s="45">
        <v>891</v>
      </c>
      <c r="D558" s="22" t="s">
        <v>107</v>
      </c>
      <c r="E558" s="22" t="s">
        <v>82</v>
      </c>
    </row>
    <row r="559" spans="1:5" x14ac:dyDescent="0.25">
      <c r="A559" s="21" t="s">
        <v>811</v>
      </c>
      <c r="B559" s="22" t="s">
        <v>249</v>
      </c>
      <c r="C559" s="45">
        <v>516</v>
      </c>
      <c r="D559" s="22" t="s">
        <v>102</v>
      </c>
      <c r="E559" s="22" t="s">
        <v>82</v>
      </c>
    </row>
    <row r="560" spans="1:5" x14ac:dyDescent="0.25">
      <c r="A560" s="21" t="s">
        <v>811</v>
      </c>
      <c r="B560" s="22" t="s">
        <v>812</v>
      </c>
      <c r="C560" s="45">
        <v>180</v>
      </c>
      <c r="D560" s="22" t="s">
        <v>111</v>
      </c>
      <c r="E560" s="22" t="s">
        <v>82</v>
      </c>
    </row>
    <row r="561" spans="1:5" x14ac:dyDescent="0.25">
      <c r="A561" s="21" t="s">
        <v>811</v>
      </c>
      <c r="B561" s="22" t="s">
        <v>813</v>
      </c>
      <c r="C561" s="45">
        <v>1057</v>
      </c>
      <c r="D561" s="22" t="s">
        <v>102</v>
      </c>
      <c r="E561" s="22" t="s">
        <v>82</v>
      </c>
    </row>
    <row r="562" spans="1:5" x14ac:dyDescent="0.25">
      <c r="A562" s="21" t="s">
        <v>811</v>
      </c>
      <c r="B562" s="22" t="s">
        <v>814</v>
      </c>
      <c r="C562" s="45">
        <v>200</v>
      </c>
      <c r="D562" s="22" t="s">
        <v>102</v>
      </c>
      <c r="E562" s="22" t="s">
        <v>82</v>
      </c>
    </row>
    <row r="563" spans="1:5" x14ac:dyDescent="0.25">
      <c r="A563" s="21" t="s">
        <v>811</v>
      </c>
      <c r="B563" s="22" t="s">
        <v>726</v>
      </c>
      <c r="C563" s="45">
        <v>437.31</v>
      </c>
      <c r="D563" s="22" t="s">
        <v>109</v>
      </c>
      <c r="E563" s="22" t="s">
        <v>82</v>
      </c>
    </row>
    <row r="564" spans="1:5" x14ac:dyDescent="0.25">
      <c r="A564" s="21" t="s">
        <v>811</v>
      </c>
      <c r="B564" s="22" t="s">
        <v>815</v>
      </c>
      <c r="C564" s="45">
        <v>480</v>
      </c>
      <c r="D564" s="22" t="s">
        <v>111</v>
      </c>
      <c r="E564" s="22" t="s">
        <v>82</v>
      </c>
    </row>
    <row r="565" spans="1:5" x14ac:dyDescent="0.25">
      <c r="A565" s="21" t="s">
        <v>811</v>
      </c>
      <c r="B565" s="22" t="s">
        <v>816</v>
      </c>
      <c r="C565" s="45">
        <v>118</v>
      </c>
      <c r="D565" s="22" t="s">
        <v>102</v>
      </c>
      <c r="E565" s="22" t="s">
        <v>82</v>
      </c>
    </row>
    <row r="566" spans="1:5" x14ac:dyDescent="0.25">
      <c r="A566" s="21" t="s">
        <v>817</v>
      </c>
      <c r="B566" s="22" t="s">
        <v>818</v>
      </c>
      <c r="C566" s="46">
        <v>520</v>
      </c>
      <c r="D566" s="22" t="s">
        <v>102</v>
      </c>
      <c r="E566" s="22" t="s">
        <v>83</v>
      </c>
    </row>
    <row r="567" spans="1:5" x14ac:dyDescent="0.25">
      <c r="A567" s="21" t="s">
        <v>819</v>
      </c>
      <c r="B567" s="22" t="s">
        <v>237</v>
      </c>
      <c r="C567" s="46">
        <v>35</v>
      </c>
      <c r="D567" s="22" t="s">
        <v>109</v>
      </c>
      <c r="E567" s="22" t="s">
        <v>83</v>
      </c>
    </row>
    <row r="568" spans="1:5" x14ac:dyDescent="0.25">
      <c r="A568" s="21" t="s">
        <v>84</v>
      </c>
      <c r="B568" s="22" t="s">
        <v>820</v>
      </c>
      <c r="C568" s="46">
        <v>130</v>
      </c>
      <c r="D568" s="22" t="s">
        <v>111</v>
      </c>
      <c r="E568" s="22" t="s">
        <v>83</v>
      </c>
    </row>
    <row r="569" spans="1:5" x14ac:dyDescent="0.25">
      <c r="A569" s="21" t="s">
        <v>84</v>
      </c>
      <c r="B569" s="22" t="s">
        <v>822</v>
      </c>
      <c r="C569" s="46">
        <v>520</v>
      </c>
      <c r="D569" s="22" t="s">
        <v>111</v>
      </c>
      <c r="E569" s="22" t="s">
        <v>83</v>
      </c>
    </row>
    <row r="570" spans="1:5" x14ac:dyDescent="0.25">
      <c r="A570" s="21" t="s">
        <v>84</v>
      </c>
      <c r="B570" s="22" t="s">
        <v>823</v>
      </c>
      <c r="C570" s="46">
        <v>160</v>
      </c>
      <c r="D570" s="22" t="s">
        <v>109</v>
      </c>
      <c r="E570" s="22" t="s">
        <v>83</v>
      </c>
    </row>
    <row r="571" spans="1:5" x14ac:dyDescent="0.25">
      <c r="A571" s="21" t="s">
        <v>84</v>
      </c>
      <c r="B571" s="22" t="s">
        <v>824</v>
      </c>
      <c r="C571" s="46">
        <v>80</v>
      </c>
      <c r="D571" s="22" t="s">
        <v>109</v>
      </c>
      <c r="E571" s="22" t="s">
        <v>83</v>
      </c>
    </row>
    <row r="572" spans="1:5" x14ac:dyDescent="0.25">
      <c r="A572" s="21" t="s">
        <v>84</v>
      </c>
      <c r="B572" s="22" t="s">
        <v>825</v>
      </c>
      <c r="C572" s="46">
        <v>4110</v>
      </c>
      <c r="D572" s="22" t="s">
        <v>99</v>
      </c>
      <c r="E572" s="22" t="s">
        <v>83</v>
      </c>
    </row>
    <row r="573" spans="1:5" x14ac:dyDescent="0.25">
      <c r="A573" s="21" t="s">
        <v>826</v>
      </c>
      <c r="B573" s="22" t="s">
        <v>584</v>
      </c>
      <c r="C573" s="46">
        <v>35</v>
      </c>
      <c r="D573" s="22" t="s">
        <v>102</v>
      </c>
      <c r="E573" s="22" t="s">
        <v>83</v>
      </c>
    </row>
    <row r="574" spans="1:5" x14ac:dyDescent="0.25">
      <c r="A574" s="21" t="s">
        <v>87</v>
      </c>
      <c r="B574" s="22" t="s">
        <v>827</v>
      </c>
      <c r="C574" s="46">
        <v>4170</v>
      </c>
      <c r="D574" s="22" t="s">
        <v>107</v>
      </c>
      <c r="E574" s="22" t="s">
        <v>83</v>
      </c>
    </row>
    <row r="575" spans="1:5" x14ac:dyDescent="0.25">
      <c r="A575" s="21" t="s">
        <v>87</v>
      </c>
      <c r="B575" s="22" t="s">
        <v>828</v>
      </c>
      <c r="C575" s="46">
        <v>7000</v>
      </c>
      <c r="D575" s="22" t="s">
        <v>106</v>
      </c>
      <c r="E575" s="22" t="s">
        <v>83</v>
      </c>
    </row>
    <row r="576" spans="1:5" x14ac:dyDescent="0.25">
      <c r="A576" s="21" t="s">
        <v>87</v>
      </c>
      <c r="B576" s="22" t="s">
        <v>829</v>
      </c>
      <c r="C576" s="46">
        <v>783</v>
      </c>
      <c r="D576" s="22" t="s">
        <v>102</v>
      </c>
      <c r="E576" s="22" t="s">
        <v>83</v>
      </c>
    </row>
    <row r="577" spans="1:5" x14ac:dyDescent="0.25">
      <c r="A577" s="21" t="s">
        <v>87</v>
      </c>
      <c r="B577" s="22" t="s">
        <v>822</v>
      </c>
      <c r="C577" s="46">
        <v>280</v>
      </c>
      <c r="D577" s="22" t="s">
        <v>111</v>
      </c>
      <c r="E577" s="22" t="s">
        <v>83</v>
      </c>
    </row>
    <row r="578" spans="1:5" x14ac:dyDescent="0.25">
      <c r="A578" s="21" t="s">
        <v>87</v>
      </c>
      <c r="B578" s="22" t="s">
        <v>830</v>
      </c>
      <c r="C578" s="46">
        <v>140</v>
      </c>
      <c r="D578" s="22" t="s">
        <v>111</v>
      </c>
      <c r="E578" s="22" t="s">
        <v>83</v>
      </c>
    </row>
    <row r="579" spans="1:5" x14ac:dyDescent="0.25">
      <c r="A579" s="21" t="s">
        <v>87</v>
      </c>
      <c r="B579" s="22" t="s">
        <v>831</v>
      </c>
      <c r="C579" s="46">
        <v>8824</v>
      </c>
      <c r="D579" s="22" t="s">
        <v>104</v>
      </c>
      <c r="E579" s="22" t="s">
        <v>83</v>
      </c>
    </row>
    <row r="580" spans="1:5" x14ac:dyDescent="0.25">
      <c r="A580" s="21" t="s">
        <v>87</v>
      </c>
      <c r="B580" s="22" t="s">
        <v>832</v>
      </c>
      <c r="C580" s="46">
        <v>400</v>
      </c>
      <c r="D580" s="22" t="s">
        <v>109</v>
      </c>
      <c r="E580" s="22" t="s">
        <v>83</v>
      </c>
    </row>
    <row r="581" spans="1:5" x14ac:dyDescent="0.25">
      <c r="A581" s="21" t="s">
        <v>833</v>
      </c>
      <c r="B581" s="22" t="s">
        <v>177</v>
      </c>
      <c r="C581" s="46">
        <v>250</v>
      </c>
      <c r="D581" s="22" t="s">
        <v>111</v>
      </c>
      <c r="E581" s="22" t="s">
        <v>83</v>
      </c>
    </row>
    <row r="582" spans="1:5" x14ac:dyDescent="0.25">
      <c r="A582" s="21" t="s">
        <v>834</v>
      </c>
      <c r="B582" s="22" t="s">
        <v>462</v>
      </c>
      <c r="C582" s="46">
        <v>57</v>
      </c>
      <c r="D582" s="22" t="s">
        <v>102</v>
      </c>
      <c r="E582" s="22" t="s">
        <v>83</v>
      </c>
    </row>
    <row r="583" spans="1:5" x14ac:dyDescent="0.25">
      <c r="A583" s="21" t="s">
        <v>835</v>
      </c>
      <c r="B583" s="22" t="s">
        <v>836</v>
      </c>
      <c r="C583" s="46">
        <v>913</v>
      </c>
      <c r="D583" s="22" t="s">
        <v>109</v>
      </c>
      <c r="E583" s="22" t="s">
        <v>83</v>
      </c>
    </row>
    <row r="584" spans="1:5" x14ac:dyDescent="0.25">
      <c r="A584" s="21" t="s">
        <v>837</v>
      </c>
      <c r="B584" s="22" t="s">
        <v>105</v>
      </c>
      <c r="C584" s="46">
        <v>110</v>
      </c>
      <c r="D584" s="22" t="s">
        <v>109</v>
      </c>
      <c r="E584" s="22" t="s">
        <v>83</v>
      </c>
    </row>
    <row r="585" spans="1:5" x14ac:dyDescent="0.25">
      <c r="A585" s="21" t="s">
        <v>89</v>
      </c>
      <c r="B585" s="22" t="s">
        <v>838</v>
      </c>
      <c r="C585" s="46">
        <v>1583</v>
      </c>
      <c r="D585" s="22" t="s">
        <v>102</v>
      </c>
      <c r="E585" s="22" t="s">
        <v>83</v>
      </c>
    </row>
    <row r="586" spans="1:5" x14ac:dyDescent="0.25">
      <c r="A586" s="21" t="s">
        <v>89</v>
      </c>
      <c r="B586" s="22" t="s">
        <v>839</v>
      </c>
      <c r="C586" s="46">
        <v>330</v>
      </c>
      <c r="D586" s="22" t="s">
        <v>111</v>
      </c>
      <c r="E586" s="22" t="s">
        <v>83</v>
      </c>
    </row>
    <row r="587" spans="1:5" x14ac:dyDescent="0.25">
      <c r="A587" s="21" t="s">
        <v>89</v>
      </c>
      <c r="B587" s="22" t="s">
        <v>195</v>
      </c>
      <c r="C587" s="46">
        <v>29</v>
      </c>
      <c r="D587" s="22" t="s">
        <v>107</v>
      </c>
      <c r="E587" s="22" t="s">
        <v>83</v>
      </c>
    </row>
    <row r="588" spans="1:5" x14ac:dyDescent="0.25">
      <c r="A588" s="21" t="s">
        <v>89</v>
      </c>
      <c r="B588" s="22" t="s">
        <v>840</v>
      </c>
      <c r="C588" s="46">
        <v>22500</v>
      </c>
      <c r="D588" s="22" t="s">
        <v>103</v>
      </c>
      <c r="E588" s="22" t="s">
        <v>83</v>
      </c>
    </row>
    <row r="589" spans="1:5" x14ac:dyDescent="0.25">
      <c r="A589" s="21" t="s">
        <v>841</v>
      </c>
      <c r="B589" s="22" t="s">
        <v>842</v>
      </c>
      <c r="C589" s="46">
        <v>1752</v>
      </c>
      <c r="D589" s="22" t="s">
        <v>102</v>
      </c>
      <c r="E589" s="22" t="s">
        <v>83</v>
      </c>
    </row>
    <row r="590" spans="1:5" x14ac:dyDescent="0.25">
      <c r="A590" s="21" t="s">
        <v>841</v>
      </c>
      <c r="B590" s="22" t="s">
        <v>797</v>
      </c>
      <c r="C590" s="46">
        <v>230</v>
      </c>
      <c r="D590" s="22" t="s">
        <v>111</v>
      </c>
      <c r="E590" s="22" t="s">
        <v>83</v>
      </c>
    </row>
    <row r="591" spans="1:5" x14ac:dyDescent="0.25">
      <c r="A591" s="21" t="s">
        <v>841</v>
      </c>
      <c r="B591" s="22" t="s">
        <v>222</v>
      </c>
      <c r="C591" s="46">
        <v>72</v>
      </c>
      <c r="D591" s="22" t="s">
        <v>101</v>
      </c>
      <c r="E591" s="22" t="s">
        <v>83</v>
      </c>
    </row>
    <row r="592" spans="1:5" x14ac:dyDescent="0.25">
      <c r="A592" s="21" t="s">
        <v>841</v>
      </c>
      <c r="B592" s="22" t="s">
        <v>215</v>
      </c>
      <c r="C592" s="46">
        <v>60</v>
      </c>
      <c r="D592" s="22" t="s">
        <v>111</v>
      </c>
      <c r="E592" s="22" t="s">
        <v>83</v>
      </c>
    </row>
    <row r="593" spans="1:5" x14ac:dyDescent="0.25">
      <c r="A593" s="21" t="s">
        <v>841</v>
      </c>
      <c r="B593" s="22" t="s">
        <v>843</v>
      </c>
      <c r="C593" s="46">
        <v>67</v>
      </c>
      <c r="D593" s="22" t="s">
        <v>107</v>
      </c>
      <c r="E593" s="22" t="s">
        <v>83</v>
      </c>
    </row>
    <row r="594" spans="1:5" x14ac:dyDescent="0.25">
      <c r="A594" s="21" t="s">
        <v>844</v>
      </c>
      <c r="B594" s="22" t="s">
        <v>111</v>
      </c>
      <c r="C594" s="45">
        <v>100</v>
      </c>
      <c r="D594" s="22" t="s">
        <v>111</v>
      </c>
      <c r="E594" s="22" t="s">
        <v>82</v>
      </c>
    </row>
    <row r="595" spans="1:5" x14ac:dyDescent="0.25">
      <c r="A595" s="21" t="s">
        <v>872</v>
      </c>
      <c r="B595" s="22" t="s">
        <v>623</v>
      </c>
      <c r="C595" s="46">
        <v>798</v>
      </c>
      <c r="D595" s="22" t="s">
        <v>109</v>
      </c>
      <c r="E595" s="22" t="s">
        <v>83</v>
      </c>
    </row>
    <row r="596" spans="1:5" x14ac:dyDescent="0.25">
      <c r="A596" s="21" t="s">
        <v>872</v>
      </c>
      <c r="B596" s="22" t="s">
        <v>873</v>
      </c>
      <c r="C596" s="46">
        <v>100</v>
      </c>
      <c r="D596" s="22" t="s">
        <v>111</v>
      </c>
      <c r="E596" s="22" t="s">
        <v>83</v>
      </c>
    </row>
  </sheetData>
  <pageMargins left="0.7" right="0.7" top="0.75" bottom="0.75" header="0.3" footer="0.3"/>
  <pageSetup orientation="portrait" r:id="rId1"/>
  <legacy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6AA6B-290E-47A7-AE0E-6F328D256576}">
  <dimension ref="A1:G40"/>
  <sheetViews>
    <sheetView tabSelected="1" topLeftCell="A31" workbookViewId="0">
      <selection activeCell="C37" sqref="C37"/>
    </sheetView>
  </sheetViews>
  <sheetFormatPr defaultRowHeight="15" x14ac:dyDescent="0.25"/>
  <cols>
    <col min="1" max="1" width="49" bestFit="1" customWidth="1"/>
    <col min="2" max="2" width="22" bestFit="1" customWidth="1"/>
    <col min="3" max="3" width="18.7109375" bestFit="1" customWidth="1"/>
    <col min="6" max="6" width="13.140625" customWidth="1"/>
    <col min="7" max="7" width="19.7109375" bestFit="1" customWidth="1"/>
  </cols>
  <sheetData>
    <row r="1" spans="1:7" x14ac:dyDescent="0.25">
      <c r="A1" s="5"/>
      <c r="B1" s="5" t="s">
        <v>92</v>
      </c>
      <c r="C1" s="5" t="s">
        <v>93</v>
      </c>
    </row>
    <row r="2" spans="1:7" x14ac:dyDescent="0.25">
      <c r="A2" s="5" t="s">
        <v>91</v>
      </c>
      <c r="B2" s="5" t="s">
        <v>95</v>
      </c>
      <c r="C2" s="5" t="s">
        <v>94</v>
      </c>
    </row>
    <row r="4" spans="1:7" x14ac:dyDescent="0.25">
      <c r="A4" t="s">
        <v>54</v>
      </c>
      <c r="B4" t="s">
        <v>92</v>
      </c>
      <c r="C4" t="s">
        <v>93</v>
      </c>
      <c r="F4" t="s">
        <v>852</v>
      </c>
      <c r="G4" t="s">
        <v>55</v>
      </c>
    </row>
    <row r="5" spans="1:7" x14ac:dyDescent="0.25">
      <c r="A5" t="s">
        <v>46</v>
      </c>
      <c r="B5" s="8">
        <f>DATE(2024,12,25)</f>
        <v>45651</v>
      </c>
      <c r="C5" s="8">
        <f>DATE(2025,1,24)</f>
        <v>45681</v>
      </c>
      <c r="F5">
        <v>1</v>
      </c>
      <c r="G5" t="s">
        <v>99</v>
      </c>
    </row>
    <row r="6" spans="1:7" x14ac:dyDescent="0.25">
      <c r="A6" t="s">
        <v>39</v>
      </c>
      <c r="B6" s="8">
        <f>C5+1</f>
        <v>45682</v>
      </c>
      <c r="C6" s="8">
        <f>DATE(2025,2,24)</f>
        <v>45712</v>
      </c>
      <c r="F6">
        <v>2</v>
      </c>
      <c r="G6" t="s">
        <v>100</v>
      </c>
    </row>
    <row r="7" spans="1:7" x14ac:dyDescent="0.25">
      <c r="A7" t="s">
        <v>32</v>
      </c>
      <c r="B7" s="8">
        <f t="shared" ref="B7:B16" si="0">C6+1</f>
        <v>45713</v>
      </c>
      <c r="C7" s="8">
        <f>DATE(2025,3,24)</f>
        <v>45740</v>
      </c>
      <c r="F7">
        <v>3</v>
      </c>
      <c r="G7" t="s">
        <v>101</v>
      </c>
    </row>
    <row r="8" spans="1:7" x14ac:dyDescent="0.25">
      <c r="A8" t="s">
        <v>26</v>
      </c>
      <c r="B8" s="8">
        <f t="shared" si="0"/>
        <v>45741</v>
      </c>
      <c r="C8" s="8">
        <f>DATE(2025,4,24)</f>
        <v>45771</v>
      </c>
      <c r="F8">
        <v>4</v>
      </c>
      <c r="G8" t="s">
        <v>102</v>
      </c>
    </row>
    <row r="9" spans="1:7" x14ac:dyDescent="0.25">
      <c r="A9" t="s">
        <v>20</v>
      </c>
      <c r="B9" s="8">
        <f t="shared" si="0"/>
        <v>45772</v>
      </c>
      <c r="C9" s="8">
        <f>DATE(2025,5,24)</f>
        <v>45801</v>
      </c>
      <c r="F9">
        <v>5</v>
      </c>
      <c r="G9" t="s">
        <v>103</v>
      </c>
    </row>
    <row r="10" spans="1:7" x14ac:dyDescent="0.25">
      <c r="A10" t="s">
        <v>14</v>
      </c>
      <c r="B10" s="8">
        <f t="shared" si="0"/>
        <v>45802</v>
      </c>
      <c r="C10" s="8">
        <f>DATE(2025,6,24)</f>
        <v>45832</v>
      </c>
      <c r="F10">
        <v>6</v>
      </c>
      <c r="G10" t="s">
        <v>104</v>
      </c>
    </row>
    <row r="11" spans="1:7" x14ac:dyDescent="0.25">
      <c r="A11" t="s">
        <v>8</v>
      </c>
      <c r="B11" s="8">
        <f t="shared" si="0"/>
        <v>45833</v>
      </c>
      <c r="C11" s="8">
        <f>DATE(2025,7,24)</f>
        <v>45862</v>
      </c>
      <c r="F11">
        <v>7</v>
      </c>
      <c r="G11" t="s">
        <v>112</v>
      </c>
    </row>
    <row r="12" spans="1:7" x14ac:dyDescent="0.25">
      <c r="A12" t="s">
        <v>0</v>
      </c>
      <c r="B12" s="8">
        <f t="shared" si="0"/>
        <v>45863</v>
      </c>
      <c r="C12" s="8">
        <f>DATE(2025,8,24)</f>
        <v>45893</v>
      </c>
      <c r="F12">
        <v>8</v>
      </c>
      <c r="G12" t="s">
        <v>105</v>
      </c>
    </row>
    <row r="13" spans="1:7" x14ac:dyDescent="0.25">
      <c r="A13" t="s">
        <v>80</v>
      </c>
      <c r="B13" s="8">
        <f t="shared" si="0"/>
        <v>45894</v>
      </c>
      <c r="C13" s="8">
        <f>DATE(2025,9,24)</f>
        <v>45924</v>
      </c>
      <c r="F13">
        <v>9</v>
      </c>
      <c r="G13" t="s">
        <v>106</v>
      </c>
    </row>
    <row r="14" spans="1:7" x14ac:dyDescent="0.25">
      <c r="A14" t="s">
        <v>81</v>
      </c>
      <c r="B14" s="8">
        <f t="shared" si="0"/>
        <v>45925</v>
      </c>
      <c r="C14" s="8">
        <f>DATE(2025,10,24)</f>
        <v>45954</v>
      </c>
      <c r="F14">
        <v>10</v>
      </c>
      <c r="G14" t="s">
        <v>107</v>
      </c>
    </row>
    <row r="15" spans="1:7" x14ac:dyDescent="0.25">
      <c r="A15" t="s">
        <v>82</v>
      </c>
      <c r="B15" s="8">
        <f t="shared" si="0"/>
        <v>45955</v>
      </c>
      <c r="C15" s="8">
        <f>DATE(2025,11,24)</f>
        <v>45985</v>
      </c>
      <c r="F15">
        <v>11</v>
      </c>
      <c r="G15" t="s">
        <v>108</v>
      </c>
    </row>
    <row r="16" spans="1:7" x14ac:dyDescent="0.25">
      <c r="A16" t="s">
        <v>83</v>
      </c>
      <c r="B16" s="8">
        <f t="shared" si="0"/>
        <v>45986</v>
      </c>
      <c r="C16" s="8">
        <f>DATE(2025,12,24)</f>
        <v>46015</v>
      </c>
      <c r="F16">
        <v>12</v>
      </c>
      <c r="G16" t="s">
        <v>109</v>
      </c>
    </row>
    <row r="17" spans="1:7" x14ac:dyDescent="0.25">
      <c r="F17">
        <v>13</v>
      </c>
      <c r="G17" t="s">
        <v>110</v>
      </c>
    </row>
    <row r="18" spans="1:7" x14ac:dyDescent="0.25">
      <c r="F18">
        <v>14</v>
      </c>
      <c r="G18" t="s">
        <v>111</v>
      </c>
    </row>
    <row r="19" spans="1:7" x14ac:dyDescent="0.25">
      <c r="A19" s="4" t="s">
        <v>845</v>
      </c>
      <c r="F19" t="s">
        <v>869</v>
      </c>
    </row>
    <row r="20" spans="1:7" x14ac:dyDescent="0.25">
      <c r="A20" t="s">
        <v>847</v>
      </c>
    </row>
    <row r="21" spans="1:7" x14ac:dyDescent="0.25">
      <c r="A21" t="s">
        <v>848</v>
      </c>
    </row>
    <row r="22" spans="1:7" x14ac:dyDescent="0.25">
      <c r="A22" t="s">
        <v>846</v>
      </c>
    </row>
    <row r="23" spans="1:7" x14ac:dyDescent="0.25">
      <c r="A23" t="s">
        <v>849</v>
      </c>
    </row>
    <row r="24" spans="1:7" x14ac:dyDescent="0.25">
      <c r="A24" t="s">
        <v>850</v>
      </c>
    </row>
    <row r="25" spans="1:7" x14ac:dyDescent="0.25">
      <c r="A25" t="s">
        <v>851</v>
      </c>
    </row>
    <row r="26" spans="1:7" x14ac:dyDescent="0.25">
      <c r="A26" t="s">
        <v>864</v>
      </c>
    </row>
    <row r="27" spans="1:7" x14ac:dyDescent="0.25">
      <c r="A27" s="34" t="s">
        <v>138</v>
      </c>
      <c r="B27" s="22" t="s">
        <v>147</v>
      </c>
      <c r="C27" s="29">
        <v>274</v>
      </c>
      <c r="D27" s="22" t="s">
        <v>102</v>
      </c>
      <c r="E27" s="35" t="s">
        <v>46</v>
      </c>
    </row>
    <row r="28" spans="1:7" x14ac:dyDescent="0.25">
      <c r="A28" s="21" t="s">
        <v>96</v>
      </c>
      <c r="B28" s="22" t="s">
        <v>102</v>
      </c>
      <c r="C28" s="29">
        <v>300</v>
      </c>
      <c r="D28" s="22" t="s">
        <v>102</v>
      </c>
      <c r="E28" s="22" t="s">
        <v>46</v>
      </c>
    </row>
    <row r="29" spans="1:7" x14ac:dyDescent="0.25">
      <c r="A29" s="32" t="s">
        <v>123</v>
      </c>
      <c r="B29" s="33" t="s">
        <v>125</v>
      </c>
      <c r="C29" s="31">
        <v>2600</v>
      </c>
      <c r="D29" s="33" t="s">
        <v>109</v>
      </c>
      <c r="E29" s="33" t="s">
        <v>46</v>
      </c>
    </row>
    <row r="30" spans="1:7" x14ac:dyDescent="0.25">
      <c r="A30" s="39" t="s">
        <v>71</v>
      </c>
      <c r="B30" s="28" t="s">
        <v>710</v>
      </c>
      <c r="C30" s="29">
        <v>120</v>
      </c>
      <c r="D30" s="28" t="s">
        <v>111</v>
      </c>
      <c r="E30" s="40" t="s">
        <v>81</v>
      </c>
      <c r="F30" s="44" t="s">
        <v>870</v>
      </c>
    </row>
    <row r="31" spans="1:7" x14ac:dyDescent="0.25">
      <c r="A31" s="39" t="s">
        <v>71</v>
      </c>
      <c r="B31" s="28" t="s">
        <v>711</v>
      </c>
      <c r="C31" s="29">
        <v>223</v>
      </c>
      <c r="D31" s="28" t="s">
        <v>111</v>
      </c>
      <c r="E31" s="40" t="s">
        <v>81</v>
      </c>
      <c r="F31" s="44" t="s">
        <v>870</v>
      </c>
    </row>
    <row r="32" spans="1:7" x14ac:dyDescent="0.25">
      <c r="A32" s="39" t="s">
        <v>84</v>
      </c>
      <c r="B32" s="28" t="s">
        <v>821</v>
      </c>
      <c r="C32" s="29">
        <v>437.31</v>
      </c>
      <c r="D32" s="28" t="s">
        <v>109</v>
      </c>
      <c r="E32" s="40" t="s">
        <v>83</v>
      </c>
      <c r="F32" s="44" t="s">
        <v>870</v>
      </c>
    </row>
    <row r="34" spans="1:2" x14ac:dyDescent="0.25">
      <c r="A34" s="47" t="s">
        <v>55</v>
      </c>
      <c r="B34" s="44" t="s">
        <v>875</v>
      </c>
    </row>
    <row r="35" spans="1:2" x14ac:dyDescent="0.25">
      <c r="A35" t="s">
        <v>108</v>
      </c>
      <c r="B35">
        <f>SUMIF(Table6[Category],$A$35,Table6[Amount])</f>
        <v>13535</v>
      </c>
    </row>
    <row r="37" spans="1:2" x14ac:dyDescent="0.25">
      <c r="A37" t="s">
        <v>55</v>
      </c>
      <c r="B37" t="s">
        <v>876</v>
      </c>
    </row>
    <row r="38" spans="1:2" x14ac:dyDescent="0.25">
      <c r="A38" t="s">
        <v>103</v>
      </c>
      <c r="B38">
        <f>SUMIF(Table14[Category],$A38,Table14[Amount])</f>
        <v>240300</v>
      </c>
    </row>
    <row r="39" spans="1:2" x14ac:dyDescent="0.25">
      <c r="A39" s="30" t="s">
        <v>110</v>
      </c>
      <c r="B39">
        <f>SUMIF(Table14[Category],$A39,Table14[Amount])</f>
        <v>139500</v>
      </c>
    </row>
    <row r="40" spans="1:2" x14ac:dyDescent="0.25">
      <c r="A40" t="s">
        <v>108</v>
      </c>
      <c r="B40">
        <f>SUMIF(Table14[Category],$A40,Table14[Amount])</f>
        <v>109000</v>
      </c>
    </row>
  </sheetData>
  <sortState xmlns:xlrd2="http://schemas.microsoft.com/office/spreadsheetml/2017/richdata2" ref="G5:G18">
    <sortCondition ref="G5:G18"/>
  </sortState>
  <phoneticPr fontId="4" type="noConversion"/>
  <pageMargins left="0.7" right="0.7" top="0.75" bottom="0.75" header="0.3" footer="0.3"/>
  <legacyDrawing r:id="rId1"/>
  <tableParts count="2"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4A296-D3B7-4979-BFC6-CFF1A79D168D}">
  <sheetPr>
    <tabColor rgb="FF3366FF"/>
  </sheetPr>
  <dimension ref="A1:E690"/>
  <sheetViews>
    <sheetView workbookViewId="0">
      <selection activeCell="C33" sqref="C33"/>
    </sheetView>
  </sheetViews>
  <sheetFormatPr defaultRowHeight="15" x14ac:dyDescent="0.25"/>
  <cols>
    <col min="1" max="1" width="13" bestFit="1" customWidth="1"/>
    <col min="2" max="2" width="42.140625" bestFit="1" customWidth="1"/>
    <col min="3" max="3" width="11.7109375" style="13" customWidth="1"/>
    <col min="4" max="4" width="39" bestFit="1" customWidth="1"/>
  </cols>
  <sheetData>
    <row r="1" spans="1:5" x14ac:dyDescent="0.25">
      <c r="A1" s="1" t="s">
        <v>114</v>
      </c>
      <c r="B1" s="1" t="s">
        <v>57</v>
      </c>
      <c r="C1" s="14" t="s">
        <v>56</v>
      </c>
      <c r="D1" s="1" t="s">
        <v>55</v>
      </c>
      <c r="E1" s="1" t="s">
        <v>54</v>
      </c>
    </row>
    <row r="2" spans="1:5" x14ac:dyDescent="0.25">
      <c r="A2" s="15" t="s">
        <v>53</v>
      </c>
      <c r="B2" s="2" t="s">
        <v>115</v>
      </c>
      <c r="C2" s="3">
        <v>3230</v>
      </c>
      <c r="D2" s="2" t="s">
        <v>99</v>
      </c>
      <c r="E2" s="2" t="s">
        <v>46</v>
      </c>
    </row>
    <row r="3" spans="1:5" x14ac:dyDescent="0.25">
      <c r="A3" s="15" t="s">
        <v>116</v>
      </c>
      <c r="B3" s="2" t="s">
        <v>111</v>
      </c>
      <c r="C3" s="3">
        <v>450</v>
      </c>
      <c r="D3" s="2" t="s">
        <v>111</v>
      </c>
      <c r="E3" s="2" t="s">
        <v>46</v>
      </c>
    </row>
    <row r="4" spans="1:5" x14ac:dyDescent="0.25">
      <c r="A4" s="15" t="s">
        <v>51</v>
      </c>
      <c r="B4" s="2" t="s">
        <v>111</v>
      </c>
      <c r="C4" s="3">
        <v>306</v>
      </c>
      <c r="D4" s="2" t="s">
        <v>111</v>
      </c>
      <c r="E4" s="2" t="s">
        <v>46</v>
      </c>
    </row>
    <row r="5" spans="1:5" x14ac:dyDescent="0.25">
      <c r="A5" s="15" t="s">
        <v>48</v>
      </c>
      <c r="B5" s="2" t="s">
        <v>117</v>
      </c>
      <c r="C5" s="3">
        <v>180</v>
      </c>
      <c r="D5" s="2" t="s">
        <v>109</v>
      </c>
      <c r="E5" s="2" t="s">
        <v>46</v>
      </c>
    </row>
    <row r="6" spans="1:5" x14ac:dyDescent="0.25">
      <c r="A6" s="15" t="s">
        <v>48</v>
      </c>
      <c r="B6" s="2" t="s">
        <v>106</v>
      </c>
      <c r="C6" s="3">
        <v>1800</v>
      </c>
      <c r="D6" s="2" t="s">
        <v>106</v>
      </c>
      <c r="E6" s="2" t="s">
        <v>46</v>
      </c>
    </row>
    <row r="7" spans="1:5" x14ac:dyDescent="0.25">
      <c r="A7" s="15" t="s">
        <v>48</v>
      </c>
      <c r="B7" s="2" t="s">
        <v>118</v>
      </c>
      <c r="C7" s="3">
        <v>1418</v>
      </c>
      <c r="D7" s="2" t="s">
        <v>107</v>
      </c>
      <c r="E7" s="2" t="s">
        <v>46</v>
      </c>
    </row>
    <row r="8" spans="1:5" x14ac:dyDescent="0.25">
      <c r="A8" s="15" t="s">
        <v>48</v>
      </c>
      <c r="B8" s="2" t="s">
        <v>119</v>
      </c>
      <c r="C8" s="3">
        <v>140</v>
      </c>
      <c r="D8" s="2" t="s">
        <v>111</v>
      </c>
      <c r="E8" s="2" t="s">
        <v>46</v>
      </c>
    </row>
    <row r="9" spans="1:5" x14ac:dyDescent="0.25">
      <c r="A9" s="15" t="s">
        <v>120</v>
      </c>
      <c r="B9" s="2" t="s">
        <v>121</v>
      </c>
      <c r="C9" s="3">
        <v>19200</v>
      </c>
      <c r="D9" s="2" t="s">
        <v>103</v>
      </c>
      <c r="E9" s="2" t="s">
        <v>46</v>
      </c>
    </row>
    <row r="10" spans="1:5" x14ac:dyDescent="0.25">
      <c r="A10" s="15" t="s">
        <v>120</v>
      </c>
      <c r="B10" s="2" t="s">
        <v>122</v>
      </c>
      <c r="C10" s="3">
        <v>80</v>
      </c>
      <c r="D10" s="2" t="s">
        <v>109</v>
      </c>
      <c r="E10" s="2" t="s">
        <v>46</v>
      </c>
    </row>
    <row r="11" spans="1:5" x14ac:dyDescent="0.25">
      <c r="A11" s="16" t="s">
        <v>123</v>
      </c>
      <c r="B11" s="6" t="s">
        <v>124</v>
      </c>
      <c r="C11" s="7">
        <v>0</v>
      </c>
      <c r="D11" s="6" t="s">
        <v>124</v>
      </c>
      <c r="E11" s="6" t="s">
        <v>46</v>
      </c>
    </row>
    <row r="12" spans="1:5" x14ac:dyDescent="0.25">
      <c r="A12" s="16" t="s">
        <v>123</v>
      </c>
      <c r="B12" s="6" t="s">
        <v>105</v>
      </c>
      <c r="C12" s="7">
        <v>0</v>
      </c>
      <c r="D12" s="6" t="s">
        <v>105</v>
      </c>
      <c r="E12" s="6" t="s">
        <v>46</v>
      </c>
    </row>
    <row r="13" spans="1:5" x14ac:dyDescent="0.25">
      <c r="A13" s="15" t="s">
        <v>123</v>
      </c>
      <c r="B13" s="2" t="s">
        <v>125</v>
      </c>
      <c r="C13" s="3">
        <v>2600</v>
      </c>
      <c r="D13" s="2" t="s">
        <v>109</v>
      </c>
      <c r="E13" s="2" t="s">
        <v>46</v>
      </c>
    </row>
    <row r="14" spans="1:5" x14ac:dyDescent="0.25">
      <c r="A14" s="15" t="s">
        <v>126</v>
      </c>
      <c r="B14" s="2" t="s">
        <v>127</v>
      </c>
      <c r="C14" s="3">
        <v>280</v>
      </c>
      <c r="D14" s="2" t="s">
        <v>111</v>
      </c>
      <c r="E14" s="2" t="s">
        <v>46</v>
      </c>
    </row>
    <row r="15" spans="1:5" x14ac:dyDescent="0.25">
      <c r="A15" s="15" t="s">
        <v>126</v>
      </c>
      <c r="B15" s="2" t="s">
        <v>128</v>
      </c>
      <c r="C15" s="3">
        <v>470</v>
      </c>
      <c r="D15" s="2" t="s">
        <v>109</v>
      </c>
      <c r="E15" s="2" t="s">
        <v>46</v>
      </c>
    </row>
    <row r="16" spans="1:5" x14ac:dyDescent="0.25">
      <c r="A16" s="15" t="s">
        <v>129</v>
      </c>
      <c r="B16" s="2" t="s">
        <v>130</v>
      </c>
      <c r="C16" s="3">
        <v>60</v>
      </c>
      <c r="D16" s="2" t="s">
        <v>109</v>
      </c>
      <c r="E16" s="2" t="s">
        <v>46</v>
      </c>
    </row>
    <row r="17" spans="1:5" x14ac:dyDescent="0.25">
      <c r="A17" s="15" t="s">
        <v>129</v>
      </c>
      <c r="B17" s="2" t="s">
        <v>131</v>
      </c>
      <c r="C17" s="3">
        <v>35</v>
      </c>
      <c r="D17" s="2" t="s">
        <v>102</v>
      </c>
      <c r="E17" s="2" t="s">
        <v>46</v>
      </c>
    </row>
    <row r="18" spans="1:5" x14ac:dyDescent="0.25">
      <c r="A18" s="15" t="s">
        <v>129</v>
      </c>
      <c r="B18" s="2" t="s">
        <v>132</v>
      </c>
      <c r="C18" s="3">
        <v>4000</v>
      </c>
      <c r="D18" s="2" t="s">
        <v>106</v>
      </c>
      <c r="E18" s="2" t="s">
        <v>46</v>
      </c>
    </row>
    <row r="19" spans="1:5" x14ac:dyDescent="0.25">
      <c r="A19" s="15" t="s">
        <v>133</v>
      </c>
      <c r="B19" s="2" t="s">
        <v>111</v>
      </c>
      <c r="C19" s="3">
        <v>220</v>
      </c>
      <c r="D19" s="2" t="s">
        <v>111</v>
      </c>
      <c r="E19" s="2" t="s">
        <v>46</v>
      </c>
    </row>
    <row r="20" spans="1:5" x14ac:dyDescent="0.25">
      <c r="A20" s="15" t="s">
        <v>133</v>
      </c>
      <c r="B20" s="2" t="s">
        <v>134</v>
      </c>
      <c r="C20" s="3">
        <v>70</v>
      </c>
      <c r="D20" s="2" t="s">
        <v>102</v>
      </c>
      <c r="E20" s="2" t="s">
        <v>46</v>
      </c>
    </row>
    <row r="21" spans="1:5" x14ac:dyDescent="0.25">
      <c r="A21" s="15" t="s">
        <v>133</v>
      </c>
      <c r="B21" s="2" t="s">
        <v>135</v>
      </c>
      <c r="C21" s="3">
        <v>95</v>
      </c>
      <c r="D21" s="2" t="s">
        <v>109</v>
      </c>
      <c r="E21" s="2" t="s">
        <v>46</v>
      </c>
    </row>
    <row r="22" spans="1:5" x14ac:dyDescent="0.25">
      <c r="A22" s="15" t="s">
        <v>136</v>
      </c>
      <c r="B22" s="2" t="s">
        <v>137</v>
      </c>
      <c r="C22" s="3">
        <v>260</v>
      </c>
      <c r="D22" s="2" t="s">
        <v>111</v>
      </c>
      <c r="E22" s="2" t="s">
        <v>46</v>
      </c>
    </row>
    <row r="23" spans="1:5" x14ac:dyDescent="0.25">
      <c r="A23" s="15" t="s">
        <v>138</v>
      </c>
      <c r="B23" s="2" t="s">
        <v>139</v>
      </c>
      <c r="C23" s="3">
        <v>151</v>
      </c>
      <c r="D23" s="2" t="s">
        <v>111</v>
      </c>
      <c r="E23" s="2" t="s">
        <v>46</v>
      </c>
    </row>
    <row r="24" spans="1:5" x14ac:dyDescent="0.25">
      <c r="A24" s="15" t="s">
        <v>138</v>
      </c>
      <c r="B24" s="2" t="s">
        <v>140</v>
      </c>
      <c r="C24" s="3">
        <v>670</v>
      </c>
      <c r="D24" s="2" t="s">
        <v>109</v>
      </c>
      <c r="E24" s="2" t="s">
        <v>46</v>
      </c>
    </row>
    <row r="25" spans="1:5" x14ac:dyDescent="0.25">
      <c r="A25" s="15" t="s">
        <v>138</v>
      </c>
      <c r="B25" s="2" t="s">
        <v>141</v>
      </c>
      <c r="C25" s="3">
        <v>20</v>
      </c>
      <c r="D25" s="2" t="s">
        <v>109</v>
      </c>
      <c r="E25" s="2" t="s">
        <v>46</v>
      </c>
    </row>
    <row r="26" spans="1:5" x14ac:dyDescent="0.25">
      <c r="A26" s="15" t="s">
        <v>138</v>
      </c>
      <c r="B26" s="2" t="s">
        <v>142</v>
      </c>
      <c r="C26" s="3">
        <v>4077.28</v>
      </c>
      <c r="D26" s="2" t="s">
        <v>102</v>
      </c>
      <c r="E26" s="2" t="s">
        <v>46</v>
      </c>
    </row>
    <row r="27" spans="1:5" x14ac:dyDescent="0.25">
      <c r="A27" s="15" t="s">
        <v>138</v>
      </c>
      <c r="B27" s="2" t="s">
        <v>143</v>
      </c>
      <c r="C27" s="3">
        <v>230</v>
      </c>
      <c r="D27" s="2" t="s">
        <v>102</v>
      </c>
      <c r="E27" s="2" t="s">
        <v>46</v>
      </c>
    </row>
    <row r="28" spans="1:5" x14ac:dyDescent="0.25">
      <c r="A28" s="15" t="s">
        <v>138</v>
      </c>
      <c r="B28" s="2" t="s">
        <v>144</v>
      </c>
      <c r="C28" s="3">
        <v>920</v>
      </c>
      <c r="D28" s="2" t="s">
        <v>109</v>
      </c>
      <c r="E28" s="2" t="s">
        <v>46</v>
      </c>
    </row>
    <row r="29" spans="1:5" x14ac:dyDescent="0.25">
      <c r="A29" s="15" t="s">
        <v>138</v>
      </c>
      <c r="B29" s="2" t="s">
        <v>145</v>
      </c>
      <c r="C29" s="3">
        <v>2600</v>
      </c>
      <c r="D29" s="2" t="s">
        <v>124</v>
      </c>
      <c r="E29" s="2" t="s">
        <v>46</v>
      </c>
    </row>
    <row r="30" spans="1:5" x14ac:dyDescent="0.25">
      <c r="A30" s="15" t="s">
        <v>138</v>
      </c>
      <c r="B30" s="2" t="s">
        <v>146</v>
      </c>
      <c r="C30" s="3">
        <v>274</v>
      </c>
      <c r="D30" s="2" t="s">
        <v>107</v>
      </c>
      <c r="E30" s="2" t="s">
        <v>46</v>
      </c>
    </row>
    <row r="31" spans="1:5" x14ac:dyDescent="0.25">
      <c r="A31" s="15" t="s">
        <v>138</v>
      </c>
      <c r="B31" s="2" t="s">
        <v>147</v>
      </c>
      <c r="C31" s="3">
        <v>274</v>
      </c>
      <c r="D31" s="2" t="s">
        <v>102</v>
      </c>
      <c r="E31" s="2" t="s">
        <v>46</v>
      </c>
    </row>
    <row r="32" spans="1:5" x14ac:dyDescent="0.25">
      <c r="A32" s="15" t="s">
        <v>138</v>
      </c>
      <c r="B32" s="2" t="s">
        <v>148</v>
      </c>
      <c r="C32" s="3">
        <v>1613.56</v>
      </c>
      <c r="D32" s="2" t="s">
        <v>109</v>
      </c>
      <c r="E32" s="2" t="s">
        <v>46</v>
      </c>
    </row>
    <row r="33" spans="1:5" x14ac:dyDescent="0.25">
      <c r="A33" s="15" t="s">
        <v>149</v>
      </c>
      <c r="B33" s="2" t="s">
        <v>150</v>
      </c>
      <c r="C33" s="3">
        <v>100</v>
      </c>
      <c r="D33" s="2" t="s">
        <v>111</v>
      </c>
      <c r="E33" s="2" t="s">
        <v>46</v>
      </c>
    </row>
    <row r="34" spans="1:5" x14ac:dyDescent="0.25">
      <c r="A34" s="15" t="s">
        <v>149</v>
      </c>
      <c r="B34" s="2" t="s">
        <v>151</v>
      </c>
      <c r="C34" s="3">
        <v>325</v>
      </c>
      <c r="D34" s="2" t="s">
        <v>101</v>
      </c>
      <c r="E34" s="2" t="s">
        <v>46</v>
      </c>
    </row>
    <row r="35" spans="1:5" x14ac:dyDescent="0.25">
      <c r="A35" s="15" t="s">
        <v>149</v>
      </c>
      <c r="B35" s="2" t="s">
        <v>152</v>
      </c>
      <c r="C35" s="3">
        <v>345</v>
      </c>
      <c r="D35" s="2" t="s">
        <v>109</v>
      </c>
      <c r="E35" s="2" t="s">
        <v>46</v>
      </c>
    </row>
    <row r="36" spans="1:5" x14ac:dyDescent="0.25">
      <c r="A36" s="15" t="s">
        <v>149</v>
      </c>
      <c r="B36" s="2" t="s">
        <v>153</v>
      </c>
      <c r="C36" s="3">
        <v>35</v>
      </c>
      <c r="D36" s="2" t="s">
        <v>107</v>
      </c>
      <c r="E36" s="2" t="s">
        <v>46</v>
      </c>
    </row>
    <row r="37" spans="1:5" x14ac:dyDescent="0.25">
      <c r="A37" s="15" t="s">
        <v>149</v>
      </c>
      <c r="B37" s="2" t="s">
        <v>154</v>
      </c>
      <c r="C37" s="3">
        <v>234</v>
      </c>
      <c r="D37" s="2" t="s">
        <v>109</v>
      </c>
      <c r="E37" s="2" t="s">
        <v>46</v>
      </c>
    </row>
    <row r="38" spans="1:5" x14ac:dyDescent="0.25">
      <c r="A38" s="15" t="s">
        <v>149</v>
      </c>
      <c r="B38" s="2" t="s">
        <v>155</v>
      </c>
      <c r="C38" s="3">
        <v>2000</v>
      </c>
      <c r="D38" s="2" t="s">
        <v>109</v>
      </c>
      <c r="E38" s="2" t="s">
        <v>46</v>
      </c>
    </row>
    <row r="39" spans="1:5" x14ac:dyDescent="0.25">
      <c r="A39" s="15" t="s">
        <v>156</v>
      </c>
      <c r="B39" s="2" t="s">
        <v>157</v>
      </c>
      <c r="C39" s="3">
        <v>150</v>
      </c>
      <c r="D39" s="2" t="s">
        <v>102</v>
      </c>
      <c r="E39" s="2" t="s">
        <v>46</v>
      </c>
    </row>
    <row r="40" spans="1:5" x14ac:dyDescent="0.25">
      <c r="A40" s="15" t="s">
        <v>156</v>
      </c>
      <c r="B40" s="2" t="s">
        <v>158</v>
      </c>
      <c r="C40" s="3">
        <v>796</v>
      </c>
      <c r="D40" s="2" t="s">
        <v>102</v>
      </c>
      <c r="E40" s="2" t="s">
        <v>46</v>
      </c>
    </row>
    <row r="41" spans="1:5" x14ac:dyDescent="0.25">
      <c r="A41" s="15" t="s">
        <v>156</v>
      </c>
      <c r="B41" s="2" t="s">
        <v>159</v>
      </c>
      <c r="C41" s="3">
        <v>45</v>
      </c>
      <c r="D41" s="2" t="s">
        <v>109</v>
      </c>
      <c r="E41" s="2" t="s">
        <v>46</v>
      </c>
    </row>
    <row r="42" spans="1:5" x14ac:dyDescent="0.25">
      <c r="A42" s="15" t="s">
        <v>156</v>
      </c>
      <c r="B42" s="2" t="s">
        <v>160</v>
      </c>
      <c r="C42" s="3">
        <v>105</v>
      </c>
      <c r="D42" s="2" t="s">
        <v>111</v>
      </c>
      <c r="E42" s="2" t="s">
        <v>46</v>
      </c>
    </row>
    <row r="43" spans="1:5" x14ac:dyDescent="0.25">
      <c r="A43" s="15" t="s">
        <v>156</v>
      </c>
      <c r="B43" s="2" t="s">
        <v>161</v>
      </c>
      <c r="C43" s="3">
        <v>42</v>
      </c>
      <c r="D43" s="2" t="s">
        <v>109</v>
      </c>
      <c r="E43" s="2" t="s">
        <v>46</v>
      </c>
    </row>
    <row r="44" spans="1:5" x14ac:dyDescent="0.25">
      <c r="A44" s="15" t="s">
        <v>162</v>
      </c>
      <c r="B44" s="2" t="s">
        <v>163</v>
      </c>
      <c r="C44" s="3">
        <v>755</v>
      </c>
      <c r="D44" s="2" t="s">
        <v>102</v>
      </c>
      <c r="E44" s="2" t="s">
        <v>46</v>
      </c>
    </row>
    <row r="45" spans="1:5" x14ac:dyDescent="0.25">
      <c r="A45" s="15" t="s">
        <v>162</v>
      </c>
      <c r="B45" s="2" t="s">
        <v>164</v>
      </c>
      <c r="C45" s="3">
        <v>298</v>
      </c>
      <c r="D45" s="2" t="s">
        <v>111</v>
      </c>
      <c r="E45" s="2" t="s">
        <v>46</v>
      </c>
    </row>
    <row r="46" spans="1:5" x14ac:dyDescent="0.25">
      <c r="A46" s="15" t="s">
        <v>165</v>
      </c>
      <c r="B46" s="2" t="s">
        <v>166</v>
      </c>
      <c r="C46" s="3">
        <v>296</v>
      </c>
      <c r="D46" s="2" t="s">
        <v>102</v>
      </c>
      <c r="E46" s="2" t="s">
        <v>46</v>
      </c>
    </row>
    <row r="47" spans="1:5" x14ac:dyDescent="0.25">
      <c r="A47" s="15" t="s">
        <v>165</v>
      </c>
      <c r="B47" s="2" t="s">
        <v>167</v>
      </c>
      <c r="C47" s="3">
        <v>185</v>
      </c>
      <c r="D47" s="2" t="s">
        <v>109</v>
      </c>
      <c r="E47" s="2" t="s">
        <v>46</v>
      </c>
    </row>
    <row r="48" spans="1:5" x14ac:dyDescent="0.25">
      <c r="A48" s="15" t="s">
        <v>165</v>
      </c>
      <c r="B48" s="2" t="s">
        <v>168</v>
      </c>
      <c r="C48" s="3">
        <v>100</v>
      </c>
      <c r="D48" s="2" t="s">
        <v>109</v>
      </c>
      <c r="E48" s="2" t="s">
        <v>46</v>
      </c>
    </row>
    <row r="49" spans="1:5" x14ac:dyDescent="0.25">
      <c r="A49" s="15" t="s">
        <v>169</v>
      </c>
      <c r="B49" s="2" t="s">
        <v>170</v>
      </c>
      <c r="C49" s="3">
        <v>148</v>
      </c>
      <c r="D49" s="2" t="s">
        <v>111</v>
      </c>
      <c r="E49" s="2" t="s">
        <v>46</v>
      </c>
    </row>
    <row r="50" spans="1:5" x14ac:dyDescent="0.25">
      <c r="A50" s="15" t="s">
        <v>169</v>
      </c>
      <c r="B50" s="2" t="s">
        <v>171</v>
      </c>
      <c r="C50" s="3">
        <v>649</v>
      </c>
      <c r="D50" s="2" t="s">
        <v>109</v>
      </c>
      <c r="E50" s="2" t="s">
        <v>46</v>
      </c>
    </row>
    <row r="51" spans="1:5" x14ac:dyDescent="0.25">
      <c r="A51" s="15" t="s">
        <v>172</v>
      </c>
      <c r="B51" s="2" t="s">
        <v>173</v>
      </c>
      <c r="C51" s="3">
        <v>20</v>
      </c>
      <c r="D51" s="2" t="s">
        <v>111</v>
      </c>
      <c r="E51" s="2" t="s">
        <v>46</v>
      </c>
    </row>
    <row r="52" spans="1:5" x14ac:dyDescent="0.25">
      <c r="A52" s="15" t="s">
        <v>172</v>
      </c>
      <c r="B52" s="2" t="s">
        <v>174</v>
      </c>
      <c r="C52" s="3">
        <v>111</v>
      </c>
      <c r="D52" s="2" t="s">
        <v>109</v>
      </c>
      <c r="E52" s="2" t="s">
        <v>46</v>
      </c>
    </row>
    <row r="53" spans="1:5" x14ac:dyDescent="0.25">
      <c r="A53" s="15" t="s">
        <v>172</v>
      </c>
      <c r="B53" s="2" t="s">
        <v>175</v>
      </c>
      <c r="C53" s="3">
        <v>450</v>
      </c>
      <c r="D53" s="2" t="s">
        <v>101</v>
      </c>
      <c r="E53" s="2" t="s">
        <v>46</v>
      </c>
    </row>
    <row r="54" spans="1:5" x14ac:dyDescent="0.25">
      <c r="A54" s="15" t="s">
        <v>172</v>
      </c>
      <c r="B54" s="2" t="s">
        <v>176</v>
      </c>
      <c r="C54" s="3">
        <v>70</v>
      </c>
      <c r="D54" s="2" t="s">
        <v>109</v>
      </c>
      <c r="E54" s="2" t="s">
        <v>46</v>
      </c>
    </row>
    <row r="55" spans="1:5" x14ac:dyDescent="0.25">
      <c r="A55" s="15" t="s">
        <v>172</v>
      </c>
      <c r="B55" s="2" t="s">
        <v>177</v>
      </c>
      <c r="C55" s="3">
        <v>190</v>
      </c>
      <c r="D55" s="2" t="s">
        <v>111</v>
      </c>
      <c r="E55" s="2" t="s">
        <v>46</v>
      </c>
    </row>
    <row r="56" spans="1:5" x14ac:dyDescent="0.25">
      <c r="A56" s="15" t="s">
        <v>178</v>
      </c>
      <c r="B56" s="2" t="s">
        <v>179</v>
      </c>
      <c r="C56" s="3">
        <v>669</v>
      </c>
      <c r="D56" s="2" t="s">
        <v>109</v>
      </c>
      <c r="E56" s="2" t="s">
        <v>46</v>
      </c>
    </row>
    <row r="57" spans="1:5" x14ac:dyDescent="0.25">
      <c r="A57" s="15" t="s">
        <v>96</v>
      </c>
      <c r="B57" s="2" t="s">
        <v>180</v>
      </c>
      <c r="C57" s="3">
        <v>200</v>
      </c>
      <c r="D57" s="2" t="s">
        <v>109</v>
      </c>
      <c r="E57" s="2" t="s">
        <v>46</v>
      </c>
    </row>
    <row r="58" spans="1:5" x14ac:dyDescent="0.25">
      <c r="A58" s="15" t="s">
        <v>96</v>
      </c>
      <c r="B58" s="2" t="s">
        <v>102</v>
      </c>
      <c r="C58" s="3">
        <v>300</v>
      </c>
      <c r="D58" s="2" t="s">
        <v>102</v>
      </c>
      <c r="E58" s="2" t="s">
        <v>46</v>
      </c>
    </row>
    <row r="59" spans="1:5" x14ac:dyDescent="0.25">
      <c r="A59" s="15" t="s">
        <v>96</v>
      </c>
      <c r="B59" s="2" t="s">
        <v>181</v>
      </c>
      <c r="C59" s="3">
        <v>150</v>
      </c>
      <c r="D59" s="2" t="s">
        <v>111</v>
      </c>
      <c r="E59" s="2" t="s">
        <v>46</v>
      </c>
    </row>
    <row r="60" spans="1:5" x14ac:dyDescent="0.25">
      <c r="A60" s="15" t="s">
        <v>45</v>
      </c>
      <c r="B60" s="2" t="s">
        <v>140</v>
      </c>
      <c r="C60" s="3">
        <v>265</v>
      </c>
      <c r="D60" s="2" t="s">
        <v>109</v>
      </c>
      <c r="E60" s="2" t="s">
        <v>39</v>
      </c>
    </row>
    <row r="61" spans="1:5" x14ac:dyDescent="0.25">
      <c r="A61" s="15" t="s">
        <v>45</v>
      </c>
      <c r="B61" s="2" t="s">
        <v>182</v>
      </c>
      <c r="C61" s="3">
        <v>1100</v>
      </c>
      <c r="D61" s="2" t="s">
        <v>111</v>
      </c>
      <c r="E61" s="2" t="s">
        <v>39</v>
      </c>
    </row>
    <row r="62" spans="1:5" x14ac:dyDescent="0.25">
      <c r="A62" s="15" t="s">
        <v>45</v>
      </c>
      <c r="B62" s="2" t="s">
        <v>183</v>
      </c>
      <c r="C62" s="3">
        <v>2680</v>
      </c>
      <c r="D62" s="2" t="s">
        <v>99</v>
      </c>
      <c r="E62" s="2" t="s">
        <v>39</v>
      </c>
    </row>
    <row r="63" spans="1:5" x14ac:dyDescent="0.25">
      <c r="A63" s="15" t="s">
        <v>184</v>
      </c>
      <c r="B63" s="2" t="s">
        <v>185</v>
      </c>
      <c r="C63" s="3">
        <v>1386</v>
      </c>
      <c r="D63" s="2" t="s">
        <v>109</v>
      </c>
      <c r="E63" s="2" t="s">
        <v>39</v>
      </c>
    </row>
    <row r="64" spans="1:5" x14ac:dyDescent="0.25">
      <c r="A64" s="15" t="s">
        <v>184</v>
      </c>
      <c r="B64" s="2" t="s">
        <v>186</v>
      </c>
      <c r="C64" s="3">
        <v>35</v>
      </c>
      <c r="D64" s="2" t="s">
        <v>107</v>
      </c>
      <c r="E64" s="2" t="s">
        <v>39</v>
      </c>
    </row>
    <row r="65" spans="1:5" x14ac:dyDescent="0.25">
      <c r="A65" s="15" t="s">
        <v>184</v>
      </c>
      <c r="B65" s="2" t="s">
        <v>187</v>
      </c>
      <c r="C65" s="3">
        <v>60</v>
      </c>
      <c r="D65" s="2" t="s">
        <v>109</v>
      </c>
      <c r="E65" s="2" t="s">
        <v>39</v>
      </c>
    </row>
    <row r="66" spans="1:5" x14ac:dyDescent="0.25">
      <c r="A66" s="15" t="s">
        <v>184</v>
      </c>
      <c r="B66" s="2" t="s">
        <v>188</v>
      </c>
      <c r="C66" s="3">
        <v>180</v>
      </c>
      <c r="D66" s="2" t="s">
        <v>105</v>
      </c>
      <c r="E66" s="2" t="s">
        <v>39</v>
      </c>
    </row>
    <row r="67" spans="1:5" x14ac:dyDescent="0.25">
      <c r="A67" s="15" t="s">
        <v>189</v>
      </c>
      <c r="B67" s="2" t="s">
        <v>131</v>
      </c>
      <c r="C67" s="3">
        <v>35</v>
      </c>
      <c r="D67" s="2" t="s">
        <v>102</v>
      </c>
      <c r="E67" s="2" t="s">
        <v>39</v>
      </c>
    </row>
    <row r="68" spans="1:5" x14ac:dyDescent="0.25">
      <c r="A68" s="15" t="s">
        <v>189</v>
      </c>
      <c r="B68" s="2" t="s">
        <v>111</v>
      </c>
      <c r="C68" s="3">
        <v>70</v>
      </c>
      <c r="D68" s="2" t="s">
        <v>111</v>
      </c>
      <c r="E68" s="2" t="s">
        <v>39</v>
      </c>
    </row>
    <row r="69" spans="1:5" x14ac:dyDescent="0.25">
      <c r="A69" s="15" t="s">
        <v>190</v>
      </c>
      <c r="B69" s="2" t="s">
        <v>191</v>
      </c>
      <c r="C69" s="3">
        <v>150</v>
      </c>
      <c r="D69" s="2" t="s">
        <v>102</v>
      </c>
      <c r="E69" s="2" t="s">
        <v>39</v>
      </c>
    </row>
    <row r="70" spans="1:5" x14ac:dyDescent="0.25">
      <c r="A70" s="15" t="s">
        <v>43</v>
      </c>
      <c r="B70" s="2" t="s">
        <v>192</v>
      </c>
      <c r="C70" s="3">
        <v>300</v>
      </c>
      <c r="D70" s="2" t="s">
        <v>111</v>
      </c>
      <c r="E70" s="2" t="s">
        <v>39</v>
      </c>
    </row>
    <row r="71" spans="1:5" x14ac:dyDescent="0.25">
      <c r="A71" s="15" t="s">
        <v>41</v>
      </c>
      <c r="B71" s="2" t="s">
        <v>193</v>
      </c>
      <c r="C71" s="3">
        <v>5800</v>
      </c>
      <c r="D71" s="2" t="s">
        <v>106</v>
      </c>
      <c r="E71" s="2" t="s">
        <v>39</v>
      </c>
    </row>
    <row r="72" spans="1:5" x14ac:dyDescent="0.25">
      <c r="A72" s="15" t="s">
        <v>41</v>
      </c>
      <c r="B72" s="2" t="s">
        <v>194</v>
      </c>
      <c r="C72" s="3">
        <v>2210</v>
      </c>
      <c r="D72" s="2" t="s">
        <v>107</v>
      </c>
      <c r="E72" s="2" t="s">
        <v>39</v>
      </c>
    </row>
    <row r="73" spans="1:5" x14ac:dyDescent="0.25">
      <c r="A73" s="15" t="s">
        <v>41</v>
      </c>
      <c r="B73" s="2" t="s">
        <v>195</v>
      </c>
      <c r="C73" s="3">
        <v>868</v>
      </c>
      <c r="D73" s="2" t="s">
        <v>107</v>
      </c>
      <c r="E73" s="2" t="s">
        <v>39</v>
      </c>
    </row>
    <row r="74" spans="1:5" x14ac:dyDescent="0.25">
      <c r="A74" s="15" t="s">
        <v>41</v>
      </c>
      <c r="B74" s="2" t="s">
        <v>196</v>
      </c>
      <c r="C74" s="3">
        <v>11700</v>
      </c>
      <c r="D74" s="2" t="s">
        <v>197</v>
      </c>
      <c r="E74" s="2" t="s">
        <v>39</v>
      </c>
    </row>
    <row r="75" spans="1:5" x14ac:dyDescent="0.25">
      <c r="A75" s="15" t="s">
        <v>198</v>
      </c>
      <c r="B75" s="2" t="s">
        <v>199</v>
      </c>
      <c r="C75" s="3">
        <v>240</v>
      </c>
      <c r="D75" s="2" t="s">
        <v>109</v>
      </c>
      <c r="E75" s="2" t="s">
        <v>39</v>
      </c>
    </row>
    <row r="76" spans="1:5" x14ac:dyDescent="0.25">
      <c r="A76" s="15" t="s">
        <v>200</v>
      </c>
      <c r="B76" s="2" t="s">
        <v>201</v>
      </c>
      <c r="C76" s="3">
        <v>200</v>
      </c>
      <c r="D76" s="2" t="s">
        <v>111</v>
      </c>
      <c r="E76" s="2" t="s">
        <v>39</v>
      </c>
    </row>
    <row r="77" spans="1:5" x14ac:dyDescent="0.25">
      <c r="A77" s="17" t="s">
        <v>200</v>
      </c>
      <c r="B77" s="12" t="s">
        <v>202</v>
      </c>
      <c r="C77" s="18">
        <v>2795</v>
      </c>
      <c r="D77" s="12" t="s">
        <v>203</v>
      </c>
      <c r="E77" s="12" t="s">
        <v>39</v>
      </c>
    </row>
    <row r="78" spans="1:5" x14ac:dyDescent="0.25">
      <c r="A78" s="15" t="s">
        <v>200</v>
      </c>
      <c r="B78" s="2" t="s">
        <v>204</v>
      </c>
      <c r="C78" s="3">
        <v>100</v>
      </c>
      <c r="D78" s="2" t="s">
        <v>111</v>
      </c>
      <c r="E78" s="2" t="s">
        <v>39</v>
      </c>
    </row>
    <row r="79" spans="1:5" x14ac:dyDescent="0.25">
      <c r="A79" s="15" t="s">
        <v>205</v>
      </c>
      <c r="B79" s="2" t="s">
        <v>206</v>
      </c>
      <c r="C79" s="3">
        <v>19200</v>
      </c>
      <c r="D79" s="2" t="s">
        <v>103</v>
      </c>
      <c r="E79" s="2" t="s">
        <v>39</v>
      </c>
    </row>
    <row r="80" spans="1:5" x14ac:dyDescent="0.25">
      <c r="A80" s="15" t="s">
        <v>205</v>
      </c>
      <c r="B80" s="2" t="s">
        <v>207</v>
      </c>
      <c r="C80" s="3">
        <v>568</v>
      </c>
      <c r="D80" s="2" t="s">
        <v>102</v>
      </c>
      <c r="E80" s="2" t="s">
        <v>39</v>
      </c>
    </row>
    <row r="81" spans="1:5" x14ac:dyDescent="0.25">
      <c r="A81" s="15" t="s">
        <v>205</v>
      </c>
      <c r="B81" s="2" t="s">
        <v>208</v>
      </c>
      <c r="C81" s="3">
        <v>100</v>
      </c>
      <c r="D81" s="2" t="s">
        <v>111</v>
      </c>
      <c r="E81" s="2" t="s">
        <v>39</v>
      </c>
    </row>
    <row r="82" spans="1:5" x14ac:dyDescent="0.25">
      <c r="A82" s="17" t="s">
        <v>209</v>
      </c>
      <c r="B82" s="12" t="s">
        <v>210</v>
      </c>
      <c r="C82" s="18">
        <v>1275</v>
      </c>
      <c r="D82" s="12" t="s">
        <v>203</v>
      </c>
      <c r="E82" s="12" t="s">
        <v>39</v>
      </c>
    </row>
    <row r="83" spans="1:5" x14ac:dyDescent="0.25">
      <c r="A83" s="15" t="s">
        <v>209</v>
      </c>
      <c r="B83" s="2" t="s">
        <v>211</v>
      </c>
      <c r="C83" s="3">
        <v>212</v>
      </c>
      <c r="D83" s="2" t="s">
        <v>102</v>
      </c>
      <c r="E83" s="2" t="s">
        <v>39</v>
      </c>
    </row>
    <row r="84" spans="1:5" x14ac:dyDescent="0.25">
      <c r="A84" s="15" t="s">
        <v>212</v>
      </c>
      <c r="B84" s="2" t="s">
        <v>213</v>
      </c>
      <c r="C84" s="3">
        <v>30</v>
      </c>
      <c r="D84" s="2" t="s">
        <v>111</v>
      </c>
      <c r="E84" s="2" t="s">
        <v>39</v>
      </c>
    </row>
    <row r="85" spans="1:5" x14ac:dyDescent="0.25">
      <c r="A85" s="15" t="s">
        <v>212</v>
      </c>
      <c r="B85" s="2" t="s">
        <v>214</v>
      </c>
      <c r="C85" s="3">
        <v>3955</v>
      </c>
      <c r="D85" s="2" t="s">
        <v>102</v>
      </c>
      <c r="E85" s="2" t="s">
        <v>39</v>
      </c>
    </row>
    <row r="86" spans="1:5" x14ac:dyDescent="0.25">
      <c r="A86" s="15" t="s">
        <v>212</v>
      </c>
      <c r="B86" s="2" t="s">
        <v>215</v>
      </c>
      <c r="C86" s="3">
        <v>60</v>
      </c>
      <c r="D86" s="2" t="s">
        <v>111</v>
      </c>
      <c r="E86" s="2" t="s">
        <v>39</v>
      </c>
    </row>
    <row r="87" spans="1:5" x14ac:dyDescent="0.25">
      <c r="A87" s="15" t="s">
        <v>212</v>
      </c>
      <c r="B87" s="2" t="s">
        <v>216</v>
      </c>
      <c r="C87" s="3">
        <v>110</v>
      </c>
      <c r="D87" s="2" t="s">
        <v>102</v>
      </c>
      <c r="E87" s="2" t="s">
        <v>39</v>
      </c>
    </row>
    <row r="88" spans="1:5" x14ac:dyDescent="0.25">
      <c r="A88" s="15" t="s">
        <v>212</v>
      </c>
      <c r="B88" s="2" t="s">
        <v>217</v>
      </c>
      <c r="C88" s="3">
        <v>63</v>
      </c>
      <c r="D88" s="2" t="s">
        <v>102</v>
      </c>
      <c r="E88" s="2" t="s">
        <v>39</v>
      </c>
    </row>
    <row r="89" spans="1:5" x14ac:dyDescent="0.25">
      <c r="A89" s="15" t="s">
        <v>212</v>
      </c>
      <c r="B89" s="2" t="s">
        <v>218</v>
      </c>
      <c r="C89" s="3">
        <v>80</v>
      </c>
      <c r="D89" s="2" t="s">
        <v>102</v>
      </c>
      <c r="E89" s="2" t="s">
        <v>39</v>
      </c>
    </row>
    <row r="90" spans="1:5" x14ac:dyDescent="0.25">
      <c r="A90" s="15" t="s">
        <v>212</v>
      </c>
      <c r="B90" s="2" t="s">
        <v>219</v>
      </c>
      <c r="C90" s="3">
        <v>250</v>
      </c>
      <c r="D90" s="2" t="s">
        <v>124</v>
      </c>
      <c r="E90" s="2" t="s">
        <v>39</v>
      </c>
    </row>
    <row r="91" spans="1:5" x14ac:dyDescent="0.25">
      <c r="A91" s="17" t="s">
        <v>220</v>
      </c>
      <c r="B91" s="12" t="s">
        <v>221</v>
      </c>
      <c r="C91" s="18">
        <v>4015</v>
      </c>
      <c r="D91" s="12" t="s">
        <v>203</v>
      </c>
      <c r="E91" s="12" t="s">
        <v>39</v>
      </c>
    </row>
    <row r="92" spans="1:5" x14ac:dyDescent="0.25">
      <c r="A92" s="15" t="s">
        <v>220</v>
      </c>
      <c r="B92" s="2" t="s">
        <v>222</v>
      </c>
      <c r="C92" s="3">
        <v>84</v>
      </c>
      <c r="D92" s="2" t="s">
        <v>109</v>
      </c>
      <c r="E92" s="2" t="s">
        <v>39</v>
      </c>
    </row>
    <row r="93" spans="1:5" x14ac:dyDescent="0.25">
      <c r="A93" s="15" t="s">
        <v>223</v>
      </c>
      <c r="B93" s="2" t="s">
        <v>224</v>
      </c>
      <c r="C93" s="3">
        <v>160</v>
      </c>
      <c r="D93" s="2" t="s">
        <v>111</v>
      </c>
      <c r="E93" s="2" t="s">
        <v>39</v>
      </c>
    </row>
    <row r="94" spans="1:5" x14ac:dyDescent="0.25">
      <c r="A94" s="15" t="s">
        <v>225</v>
      </c>
      <c r="B94" s="2" t="s">
        <v>226</v>
      </c>
      <c r="C94" s="3">
        <v>50</v>
      </c>
      <c r="D94" s="2" t="s">
        <v>102</v>
      </c>
      <c r="E94" s="2" t="s">
        <v>39</v>
      </c>
    </row>
    <row r="95" spans="1:5" x14ac:dyDescent="0.25">
      <c r="A95" s="15" t="s">
        <v>227</v>
      </c>
      <c r="B95" s="2" t="s">
        <v>128</v>
      </c>
      <c r="C95" s="3">
        <v>85</v>
      </c>
      <c r="D95" s="2" t="s">
        <v>109</v>
      </c>
      <c r="E95" s="2" t="s">
        <v>39</v>
      </c>
    </row>
    <row r="96" spans="1:5" x14ac:dyDescent="0.25">
      <c r="A96" s="15" t="s">
        <v>227</v>
      </c>
      <c r="B96" s="2" t="s">
        <v>228</v>
      </c>
      <c r="C96" s="3">
        <v>160</v>
      </c>
      <c r="D96" s="2" t="s">
        <v>109</v>
      </c>
      <c r="E96" s="2" t="s">
        <v>39</v>
      </c>
    </row>
    <row r="97" spans="1:5" x14ac:dyDescent="0.25">
      <c r="A97" s="15" t="s">
        <v>229</v>
      </c>
      <c r="B97" s="2" t="s">
        <v>230</v>
      </c>
      <c r="C97" s="3">
        <v>275</v>
      </c>
      <c r="D97" s="2" t="s">
        <v>109</v>
      </c>
      <c r="E97" s="2" t="s">
        <v>39</v>
      </c>
    </row>
    <row r="98" spans="1:5" x14ac:dyDescent="0.25">
      <c r="A98" s="15" t="s">
        <v>229</v>
      </c>
      <c r="B98" s="2" t="s">
        <v>231</v>
      </c>
      <c r="C98" s="3">
        <v>324</v>
      </c>
      <c r="D98" s="2" t="s">
        <v>109</v>
      </c>
      <c r="E98" s="2" t="s">
        <v>39</v>
      </c>
    </row>
    <row r="99" spans="1:5" x14ac:dyDescent="0.25">
      <c r="A99" s="15" t="s">
        <v>229</v>
      </c>
      <c r="B99" s="2" t="s">
        <v>232</v>
      </c>
      <c r="C99" s="3">
        <v>333</v>
      </c>
      <c r="D99" s="2" t="s">
        <v>109</v>
      </c>
      <c r="E99" s="2" t="s">
        <v>39</v>
      </c>
    </row>
    <row r="100" spans="1:5" x14ac:dyDescent="0.25">
      <c r="A100" s="17" t="s">
        <v>233</v>
      </c>
      <c r="B100" s="12" t="s">
        <v>234</v>
      </c>
      <c r="C100" s="18">
        <v>1144</v>
      </c>
      <c r="D100" s="12" t="s">
        <v>235</v>
      </c>
      <c r="E100" s="12" t="s">
        <v>39</v>
      </c>
    </row>
    <row r="101" spans="1:5" x14ac:dyDescent="0.25">
      <c r="A101" s="15" t="s">
        <v>233</v>
      </c>
      <c r="B101" s="2" t="s">
        <v>142</v>
      </c>
      <c r="C101" s="3">
        <v>4136.3599999999997</v>
      </c>
      <c r="D101" s="2" t="s">
        <v>102</v>
      </c>
      <c r="E101" s="2" t="s">
        <v>39</v>
      </c>
    </row>
    <row r="102" spans="1:5" x14ac:dyDescent="0.25">
      <c r="A102" s="15" t="s">
        <v>236</v>
      </c>
      <c r="B102" s="2" t="s">
        <v>237</v>
      </c>
      <c r="C102" s="3">
        <v>40</v>
      </c>
      <c r="D102" s="2" t="s">
        <v>109</v>
      </c>
      <c r="E102" s="2" t="s">
        <v>39</v>
      </c>
    </row>
    <row r="103" spans="1:5" x14ac:dyDescent="0.25">
      <c r="A103" s="15" t="s">
        <v>236</v>
      </c>
      <c r="B103" s="2" t="s">
        <v>238</v>
      </c>
      <c r="C103" s="3">
        <v>300</v>
      </c>
      <c r="D103" s="2" t="s">
        <v>109</v>
      </c>
      <c r="E103" s="2" t="s">
        <v>39</v>
      </c>
    </row>
    <row r="104" spans="1:5" x14ac:dyDescent="0.25">
      <c r="A104" s="15" t="s">
        <v>236</v>
      </c>
      <c r="B104" s="2" t="s">
        <v>239</v>
      </c>
      <c r="C104" s="3">
        <v>617</v>
      </c>
      <c r="D104" s="2" t="s">
        <v>102</v>
      </c>
      <c r="E104" s="2" t="s">
        <v>39</v>
      </c>
    </row>
    <row r="105" spans="1:5" x14ac:dyDescent="0.25">
      <c r="A105" s="15" t="s">
        <v>236</v>
      </c>
      <c r="B105" s="2" t="s">
        <v>240</v>
      </c>
      <c r="C105" s="3">
        <v>90</v>
      </c>
      <c r="D105" s="2" t="s">
        <v>109</v>
      </c>
      <c r="E105" s="2" t="s">
        <v>39</v>
      </c>
    </row>
    <row r="106" spans="1:5" x14ac:dyDescent="0.25">
      <c r="A106" s="15" t="s">
        <v>236</v>
      </c>
      <c r="B106" s="2" t="s">
        <v>241</v>
      </c>
      <c r="C106" s="3">
        <v>35</v>
      </c>
      <c r="D106" s="2" t="s">
        <v>111</v>
      </c>
      <c r="E106" s="2" t="s">
        <v>39</v>
      </c>
    </row>
    <row r="107" spans="1:5" x14ac:dyDescent="0.25">
      <c r="A107" s="15" t="s">
        <v>236</v>
      </c>
      <c r="B107" s="2" t="s">
        <v>242</v>
      </c>
      <c r="C107" s="3">
        <v>435</v>
      </c>
      <c r="D107" s="2" t="s">
        <v>111</v>
      </c>
      <c r="E107" s="2" t="s">
        <v>39</v>
      </c>
    </row>
    <row r="108" spans="1:5" x14ac:dyDescent="0.25">
      <c r="A108" s="15" t="s">
        <v>236</v>
      </c>
      <c r="B108" s="2" t="s">
        <v>243</v>
      </c>
      <c r="C108" s="3">
        <v>20</v>
      </c>
      <c r="D108" s="2" t="s">
        <v>109</v>
      </c>
      <c r="E108" s="2" t="s">
        <v>39</v>
      </c>
    </row>
    <row r="109" spans="1:5" x14ac:dyDescent="0.25">
      <c r="A109" s="15" t="s">
        <v>236</v>
      </c>
      <c r="B109" s="2" t="s">
        <v>215</v>
      </c>
      <c r="C109" s="3">
        <v>70</v>
      </c>
      <c r="D109" s="2" t="s">
        <v>111</v>
      </c>
      <c r="E109" s="2" t="s">
        <v>39</v>
      </c>
    </row>
    <row r="110" spans="1:5" x14ac:dyDescent="0.25">
      <c r="A110" s="15" t="s">
        <v>244</v>
      </c>
      <c r="B110" s="2" t="s">
        <v>245</v>
      </c>
      <c r="C110" s="3">
        <v>30</v>
      </c>
      <c r="D110" s="2" t="s">
        <v>111</v>
      </c>
      <c r="E110" s="2" t="s">
        <v>39</v>
      </c>
    </row>
    <row r="111" spans="1:5" x14ac:dyDescent="0.25">
      <c r="A111" s="15" t="s">
        <v>246</v>
      </c>
      <c r="B111" s="2" t="s">
        <v>237</v>
      </c>
      <c r="C111" s="3">
        <v>37</v>
      </c>
      <c r="D111" s="2" t="s">
        <v>109</v>
      </c>
      <c r="E111" s="2" t="s">
        <v>39</v>
      </c>
    </row>
    <row r="112" spans="1:5" x14ac:dyDescent="0.25">
      <c r="A112" s="15" t="s">
        <v>246</v>
      </c>
      <c r="B112" s="2" t="s">
        <v>247</v>
      </c>
      <c r="C112" s="3">
        <v>400</v>
      </c>
      <c r="D112" s="2" t="s">
        <v>109</v>
      </c>
      <c r="E112" s="2" t="s">
        <v>39</v>
      </c>
    </row>
    <row r="113" spans="1:5" x14ac:dyDescent="0.25">
      <c r="A113" s="15" t="s">
        <v>248</v>
      </c>
      <c r="B113" s="2" t="s">
        <v>249</v>
      </c>
      <c r="C113" s="3">
        <v>270</v>
      </c>
      <c r="D113" s="2" t="s">
        <v>102</v>
      </c>
      <c r="E113" s="2" t="s">
        <v>39</v>
      </c>
    </row>
    <row r="114" spans="1:5" x14ac:dyDescent="0.25">
      <c r="A114" s="15" t="s">
        <v>248</v>
      </c>
      <c r="B114" s="2" t="s">
        <v>195</v>
      </c>
      <c r="C114" s="3">
        <v>784</v>
      </c>
      <c r="D114" s="2" t="s">
        <v>107</v>
      </c>
      <c r="E114" s="2" t="s">
        <v>39</v>
      </c>
    </row>
    <row r="115" spans="1:5" x14ac:dyDescent="0.25">
      <c r="A115" s="15" t="s">
        <v>248</v>
      </c>
      <c r="B115" s="2" t="s">
        <v>250</v>
      </c>
      <c r="C115" s="3">
        <v>1048</v>
      </c>
      <c r="D115" s="2" t="s">
        <v>100</v>
      </c>
      <c r="E115" s="2" t="s">
        <v>39</v>
      </c>
    </row>
    <row r="116" spans="1:5" x14ac:dyDescent="0.25">
      <c r="A116" s="15" t="s">
        <v>251</v>
      </c>
      <c r="B116" s="2" t="s">
        <v>252</v>
      </c>
      <c r="C116" s="3">
        <v>340</v>
      </c>
      <c r="D116" s="2" t="s">
        <v>109</v>
      </c>
      <c r="E116" s="2" t="s">
        <v>39</v>
      </c>
    </row>
    <row r="117" spans="1:5" x14ac:dyDescent="0.25">
      <c r="A117" s="15" t="s">
        <v>251</v>
      </c>
      <c r="B117" s="2" t="s">
        <v>253</v>
      </c>
      <c r="C117" s="3">
        <v>950</v>
      </c>
      <c r="D117" s="2" t="s">
        <v>102</v>
      </c>
      <c r="E117" s="2" t="s">
        <v>39</v>
      </c>
    </row>
    <row r="118" spans="1:5" x14ac:dyDescent="0.25">
      <c r="A118" s="15" t="s">
        <v>251</v>
      </c>
      <c r="B118" s="2" t="s">
        <v>254</v>
      </c>
      <c r="C118" s="3">
        <v>100</v>
      </c>
      <c r="D118" s="2" t="s">
        <v>111</v>
      </c>
      <c r="E118" s="2" t="s">
        <v>39</v>
      </c>
    </row>
    <row r="119" spans="1:5" x14ac:dyDescent="0.25">
      <c r="A119" s="15" t="s">
        <v>251</v>
      </c>
      <c r="B119" s="2" t="s">
        <v>111</v>
      </c>
      <c r="C119" s="3">
        <v>130</v>
      </c>
      <c r="D119" s="2" t="s">
        <v>111</v>
      </c>
      <c r="E119" s="2" t="s">
        <v>39</v>
      </c>
    </row>
    <row r="120" spans="1:5" x14ac:dyDescent="0.25">
      <c r="A120" s="15" t="s">
        <v>97</v>
      </c>
      <c r="B120" s="2" t="s">
        <v>255</v>
      </c>
      <c r="C120" s="3">
        <v>80</v>
      </c>
      <c r="D120" s="2" t="s">
        <v>111</v>
      </c>
      <c r="E120" s="2" t="s">
        <v>39</v>
      </c>
    </row>
    <row r="121" spans="1:5" x14ac:dyDescent="0.25">
      <c r="A121" s="15" t="s">
        <v>256</v>
      </c>
      <c r="B121" s="2" t="s">
        <v>257</v>
      </c>
      <c r="C121" s="3">
        <v>3570</v>
      </c>
      <c r="D121" s="2" t="s">
        <v>99</v>
      </c>
      <c r="E121" s="2" t="s">
        <v>32</v>
      </c>
    </row>
    <row r="122" spans="1:5" x14ac:dyDescent="0.25">
      <c r="A122" s="15" t="s">
        <v>256</v>
      </c>
      <c r="B122" s="2" t="s">
        <v>258</v>
      </c>
      <c r="C122" s="3">
        <v>100</v>
      </c>
      <c r="D122" s="2" t="s">
        <v>109</v>
      </c>
      <c r="E122" s="2" t="s">
        <v>32</v>
      </c>
    </row>
    <row r="123" spans="1:5" x14ac:dyDescent="0.25">
      <c r="A123" s="15" t="s">
        <v>256</v>
      </c>
      <c r="B123" s="2" t="s">
        <v>245</v>
      </c>
      <c r="C123" s="3">
        <v>35</v>
      </c>
      <c r="D123" s="2" t="s">
        <v>111</v>
      </c>
      <c r="E123" s="2" t="s">
        <v>32</v>
      </c>
    </row>
    <row r="124" spans="1:5" x14ac:dyDescent="0.25">
      <c r="A124" s="15" t="s">
        <v>38</v>
      </c>
      <c r="B124" s="2" t="s">
        <v>259</v>
      </c>
      <c r="C124" s="3">
        <v>160</v>
      </c>
      <c r="D124" s="2" t="s">
        <v>109</v>
      </c>
      <c r="E124" s="2" t="s">
        <v>32</v>
      </c>
    </row>
    <row r="125" spans="1:5" x14ac:dyDescent="0.25">
      <c r="A125" s="15" t="s">
        <v>260</v>
      </c>
      <c r="B125" s="2" t="s">
        <v>128</v>
      </c>
      <c r="C125" s="3">
        <v>158</v>
      </c>
      <c r="D125" s="2" t="s">
        <v>109</v>
      </c>
      <c r="E125" s="2" t="s">
        <v>32</v>
      </c>
    </row>
    <row r="126" spans="1:5" x14ac:dyDescent="0.25">
      <c r="A126" s="15" t="s">
        <v>261</v>
      </c>
      <c r="B126" s="2" t="s">
        <v>160</v>
      </c>
      <c r="C126" s="3">
        <v>60</v>
      </c>
      <c r="D126" s="2" t="s">
        <v>111</v>
      </c>
      <c r="E126" s="2" t="s">
        <v>32</v>
      </c>
    </row>
    <row r="127" spans="1:5" x14ac:dyDescent="0.25">
      <c r="A127" s="15" t="s">
        <v>261</v>
      </c>
      <c r="B127" s="2" t="s">
        <v>160</v>
      </c>
      <c r="C127" s="3">
        <v>55</v>
      </c>
      <c r="D127" s="2" t="s">
        <v>111</v>
      </c>
      <c r="E127" s="2" t="s">
        <v>32</v>
      </c>
    </row>
    <row r="128" spans="1:5" x14ac:dyDescent="0.25">
      <c r="A128" s="15" t="s">
        <v>36</v>
      </c>
      <c r="B128" s="2" t="s">
        <v>262</v>
      </c>
      <c r="C128" s="3">
        <v>1994</v>
      </c>
      <c r="D128" s="2" t="s">
        <v>107</v>
      </c>
      <c r="E128" s="2" t="s">
        <v>32</v>
      </c>
    </row>
    <row r="129" spans="1:5" x14ac:dyDescent="0.25">
      <c r="A129" s="15" t="s">
        <v>36</v>
      </c>
      <c r="B129" s="2" t="s">
        <v>263</v>
      </c>
      <c r="C129" s="3">
        <v>19200</v>
      </c>
      <c r="D129" s="2" t="s">
        <v>103</v>
      </c>
      <c r="E129" s="2" t="s">
        <v>32</v>
      </c>
    </row>
    <row r="130" spans="1:5" x14ac:dyDescent="0.25">
      <c r="A130" s="15" t="s">
        <v>36</v>
      </c>
      <c r="B130" s="2" t="s">
        <v>264</v>
      </c>
      <c r="C130" s="3">
        <v>159</v>
      </c>
      <c r="D130" s="2" t="s">
        <v>102</v>
      </c>
      <c r="E130" s="2" t="s">
        <v>32</v>
      </c>
    </row>
    <row r="131" spans="1:5" x14ac:dyDescent="0.25">
      <c r="A131" s="15" t="s">
        <v>36</v>
      </c>
      <c r="B131" s="2" t="s">
        <v>265</v>
      </c>
      <c r="C131" s="3">
        <v>55</v>
      </c>
      <c r="D131" s="2" t="s">
        <v>102</v>
      </c>
      <c r="E131" s="2" t="s">
        <v>32</v>
      </c>
    </row>
    <row r="132" spans="1:5" x14ac:dyDescent="0.25">
      <c r="A132" s="15" t="s">
        <v>36</v>
      </c>
      <c r="B132" s="2" t="s">
        <v>266</v>
      </c>
      <c r="C132" s="3">
        <v>96</v>
      </c>
      <c r="D132" s="2" t="s">
        <v>109</v>
      </c>
      <c r="E132" s="2" t="s">
        <v>32</v>
      </c>
    </row>
    <row r="133" spans="1:5" x14ac:dyDescent="0.25">
      <c r="A133" s="15" t="s">
        <v>36</v>
      </c>
      <c r="B133" s="2" t="s">
        <v>267</v>
      </c>
      <c r="C133" s="3">
        <v>70</v>
      </c>
      <c r="D133" s="2" t="s">
        <v>111</v>
      </c>
      <c r="E133" s="2" t="s">
        <v>32</v>
      </c>
    </row>
    <row r="134" spans="1:5" x14ac:dyDescent="0.25">
      <c r="A134" s="15" t="s">
        <v>34</v>
      </c>
      <c r="B134" s="2" t="s">
        <v>268</v>
      </c>
      <c r="C134" s="3">
        <v>100</v>
      </c>
      <c r="D134" s="2" t="s">
        <v>102</v>
      </c>
      <c r="E134" s="2" t="s">
        <v>32</v>
      </c>
    </row>
    <row r="135" spans="1:5" x14ac:dyDescent="0.25">
      <c r="A135" s="15" t="s">
        <v>34</v>
      </c>
      <c r="B135" s="2" t="s">
        <v>269</v>
      </c>
      <c r="C135" s="3">
        <v>100</v>
      </c>
      <c r="D135" s="2" t="s">
        <v>111</v>
      </c>
      <c r="E135" s="2" t="s">
        <v>32</v>
      </c>
    </row>
    <row r="136" spans="1:5" x14ac:dyDescent="0.25">
      <c r="A136" s="15" t="s">
        <v>34</v>
      </c>
      <c r="B136" s="2" t="s">
        <v>270</v>
      </c>
      <c r="C136" s="3">
        <v>6300</v>
      </c>
      <c r="D136" s="2" t="s">
        <v>106</v>
      </c>
      <c r="E136" s="2" t="s">
        <v>32</v>
      </c>
    </row>
    <row r="137" spans="1:5" x14ac:dyDescent="0.25">
      <c r="A137" s="15" t="s">
        <v>271</v>
      </c>
      <c r="B137" s="2" t="s">
        <v>272</v>
      </c>
      <c r="C137" s="3">
        <v>1298</v>
      </c>
      <c r="D137" s="2" t="s">
        <v>109</v>
      </c>
      <c r="E137" s="2" t="s">
        <v>32</v>
      </c>
    </row>
    <row r="138" spans="1:5" x14ac:dyDescent="0.25">
      <c r="A138" s="15" t="s">
        <v>271</v>
      </c>
      <c r="B138" s="2" t="s">
        <v>273</v>
      </c>
      <c r="C138" s="3">
        <v>50</v>
      </c>
      <c r="D138" s="2" t="s">
        <v>111</v>
      </c>
      <c r="E138" s="2" t="s">
        <v>32</v>
      </c>
    </row>
    <row r="139" spans="1:5" x14ac:dyDescent="0.25">
      <c r="A139" s="15" t="s">
        <v>274</v>
      </c>
      <c r="B139" s="2" t="s">
        <v>275</v>
      </c>
      <c r="C139" s="3">
        <v>422</v>
      </c>
      <c r="D139" s="2" t="s">
        <v>109</v>
      </c>
      <c r="E139" s="2" t="s">
        <v>32</v>
      </c>
    </row>
    <row r="140" spans="1:5" x14ac:dyDescent="0.25">
      <c r="A140" s="15" t="s">
        <v>276</v>
      </c>
      <c r="B140" s="2" t="s">
        <v>277</v>
      </c>
      <c r="C140" s="3">
        <v>320</v>
      </c>
      <c r="D140" s="2" t="s">
        <v>111</v>
      </c>
      <c r="E140" s="2" t="s">
        <v>32</v>
      </c>
    </row>
    <row r="141" spans="1:5" x14ac:dyDescent="0.25">
      <c r="A141" s="15" t="s">
        <v>276</v>
      </c>
      <c r="B141" s="2" t="s">
        <v>249</v>
      </c>
      <c r="C141" s="3">
        <v>522</v>
      </c>
      <c r="D141" s="2" t="s">
        <v>102</v>
      </c>
      <c r="E141" s="2" t="s">
        <v>32</v>
      </c>
    </row>
    <row r="142" spans="1:5" x14ac:dyDescent="0.25">
      <c r="A142" s="15" t="s">
        <v>276</v>
      </c>
      <c r="B142" s="2" t="s">
        <v>259</v>
      </c>
      <c r="C142" s="3">
        <v>245</v>
      </c>
      <c r="D142" s="2" t="s">
        <v>109</v>
      </c>
      <c r="E142" s="2" t="s">
        <v>32</v>
      </c>
    </row>
    <row r="143" spans="1:5" x14ac:dyDescent="0.25">
      <c r="A143" s="15" t="s">
        <v>278</v>
      </c>
      <c r="B143" s="2" t="s">
        <v>128</v>
      </c>
      <c r="C143" s="3">
        <v>158</v>
      </c>
      <c r="D143" s="2" t="s">
        <v>109</v>
      </c>
      <c r="E143" s="2" t="s">
        <v>32</v>
      </c>
    </row>
    <row r="144" spans="1:5" x14ac:dyDescent="0.25">
      <c r="A144" s="15" t="s">
        <v>279</v>
      </c>
      <c r="B144" s="2" t="s">
        <v>237</v>
      </c>
      <c r="C144" s="3">
        <v>20</v>
      </c>
      <c r="D144" s="2" t="s">
        <v>109</v>
      </c>
      <c r="E144" s="2" t="s">
        <v>32</v>
      </c>
    </row>
    <row r="145" spans="1:5" x14ac:dyDescent="0.25">
      <c r="A145" s="17" t="s">
        <v>279</v>
      </c>
      <c r="B145" s="12" t="s">
        <v>280</v>
      </c>
      <c r="C145" s="18">
        <v>158</v>
      </c>
      <c r="D145" s="12" t="s">
        <v>203</v>
      </c>
      <c r="E145" s="12" t="s">
        <v>32</v>
      </c>
    </row>
    <row r="146" spans="1:5" x14ac:dyDescent="0.25">
      <c r="A146" s="17" t="s">
        <v>279</v>
      </c>
      <c r="B146" s="12" t="s">
        <v>281</v>
      </c>
      <c r="C146" s="18">
        <v>70</v>
      </c>
      <c r="D146" s="12" t="s">
        <v>282</v>
      </c>
      <c r="E146" s="12" t="s">
        <v>32</v>
      </c>
    </row>
    <row r="147" spans="1:5" x14ac:dyDescent="0.25">
      <c r="A147" s="17" t="s">
        <v>279</v>
      </c>
      <c r="B147" s="12" t="s">
        <v>283</v>
      </c>
      <c r="C147" s="18">
        <v>40</v>
      </c>
      <c r="D147" s="12" t="s">
        <v>282</v>
      </c>
      <c r="E147" s="12" t="s">
        <v>32</v>
      </c>
    </row>
    <row r="148" spans="1:5" x14ac:dyDescent="0.25">
      <c r="A148" s="15" t="s">
        <v>279</v>
      </c>
      <c r="B148" s="2" t="s">
        <v>284</v>
      </c>
      <c r="C148" s="3">
        <v>110</v>
      </c>
      <c r="D148" s="2" t="s">
        <v>105</v>
      </c>
      <c r="E148" s="2" t="s">
        <v>32</v>
      </c>
    </row>
    <row r="149" spans="1:5" x14ac:dyDescent="0.25">
      <c r="A149" s="17" t="s">
        <v>285</v>
      </c>
      <c r="B149" s="12" t="s">
        <v>286</v>
      </c>
      <c r="C149" s="18">
        <v>50</v>
      </c>
      <c r="D149" s="12" t="s">
        <v>203</v>
      </c>
      <c r="E149" s="12" t="s">
        <v>32</v>
      </c>
    </row>
    <row r="150" spans="1:5" x14ac:dyDescent="0.25">
      <c r="A150" s="17" t="s">
        <v>285</v>
      </c>
      <c r="B150" s="12" t="s">
        <v>287</v>
      </c>
      <c r="C150" s="18">
        <v>60</v>
      </c>
      <c r="D150" s="12" t="s">
        <v>203</v>
      </c>
      <c r="E150" s="12" t="s">
        <v>32</v>
      </c>
    </row>
    <row r="151" spans="1:5" x14ac:dyDescent="0.25">
      <c r="A151" s="17" t="s">
        <v>285</v>
      </c>
      <c r="B151" s="12" t="s">
        <v>288</v>
      </c>
      <c r="C151" s="18">
        <v>70</v>
      </c>
      <c r="D151" s="12" t="s">
        <v>282</v>
      </c>
      <c r="E151" s="12" t="s">
        <v>32</v>
      </c>
    </row>
    <row r="152" spans="1:5" x14ac:dyDescent="0.25">
      <c r="A152" s="17" t="s">
        <v>285</v>
      </c>
      <c r="B152" s="12" t="s">
        <v>289</v>
      </c>
      <c r="C152" s="18">
        <v>300</v>
      </c>
      <c r="D152" s="12" t="s">
        <v>203</v>
      </c>
      <c r="E152" s="12" t="s">
        <v>32</v>
      </c>
    </row>
    <row r="153" spans="1:5" x14ac:dyDescent="0.25">
      <c r="A153" s="17" t="s">
        <v>285</v>
      </c>
      <c r="B153" s="12" t="s">
        <v>290</v>
      </c>
      <c r="C153" s="18">
        <v>200</v>
      </c>
      <c r="D153" s="12" t="s">
        <v>109</v>
      </c>
      <c r="E153" s="12" t="s">
        <v>32</v>
      </c>
    </row>
    <row r="154" spans="1:5" x14ac:dyDescent="0.25">
      <c r="A154" s="17" t="s">
        <v>285</v>
      </c>
      <c r="B154" s="12" t="s">
        <v>291</v>
      </c>
      <c r="C154" s="18">
        <v>50</v>
      </c>
      <c r="D154" s="12" t="s">
        <v>203</v>
      </c>
      <c r="E154" s="12" t="s">
        <v>32</v>
      </c>
    </row>
    <row r="155" spans="1:5" x14ac:dyDescent="0.25">
      <c r="A155" s="17" t="s">
        <v>285</v>
      </c>
      <c r="B155" s="12" t="s">
        <v>292</v>
      </c>
      <c r="C155" s="18">
        <v>260</v>
      </c>
      <c r="D155" s="12" t="s">
        <v>282</v>
      </c>
      <c r="E155" s="12" t="s">
        <v>32</v>
      </c>
    </row>
    <row r="156" spans="1:5" x14ac:dyDescent="0.25">
      <c r="A156" s="17" t="s">
        <v>285</v>
      </c>
      <c r="B156" s="12" t="s">
        <v>293</v>
      </c>
      <c r="C156" s="18">
        <v>440</v>
      </c>
      <c r="D156" s="12" t="s">
        <v>203</v>
      </c>
      <c r="E156" s="12" t="s">
        <v>32</v>
      </c>
    </row>
    <row r="157" spans="1:5" x14ac:dyDescent="0.25">
      <c r="A157" s="17" t="s">
        <v>285</v>
      </c>
      <c r="B157" s="12" t="s">
        <v>294</v>
      </c>
      <c r="C157" s="18">
        <v>90</v>
      </c>
      <c r="D157" s="12" t="s">
        <v>282</v>
      </c>
      <c r="E157" s="12" t="s">
        <v>32</v>
      </c>
    </row>
    <row r="158" spans="1:5" x14ac:dyDescent="0.25">
      <c r="A158" s="17" t="s">
        <v>285</v>
      </c>
      <c r="B158" s="12" t="s">
        <v>295</v>
      </c>
      <c r="C158" s="18">
        <v>30</v>
      </c>
      <c r="D158" s="12" t="s">
        <v>282</v>
      </c>
      <c r="E158" s="12" t="s">
        <v>32</v>
      </c>
    </row>
    <row r="159" spans="1:5" x14ac:dyDescent="0.25">
      <c r="A159" s="17" t="s">
        <v>285</v>
      </c>
      <c r="B159" s="12" t="s">
        <v>296</v>
      </c>
      <c r="C159" s="18">
        <v>100</v>
      </c>
      <c r="D159" s="12" t="s">
        <v>203</v>
      </c>
      <c r="E159" s="12" t="s">
        <v>32</v>
      </c>
    </row>
    <row r="160" spans="1:5" x14ac:dyDescent="0.25">
      <c r="A160" s="17" t="s">
        <v>285</v>
      </c>
      <c r="B160" s="12" t="s">
        <v>297</v>
      </c>
      <c r="C160" s="18">
        <v>323</v>
      </c>
      <c r="D160" s="12" t="s">
        <v>282</v>
      </c>
      <c r="E160" s="12" t="s">
        <v>32</v>
      </c>
    </row>
    <row r="161" spans="1:5" x14ac:dyDescent="0.25">
      <c r="A161" s="17" t="s">
        <v>285</v>
      </c>
      <c r="B161" s="12" t="s">
        <v>298</v>
      </c>
      <c r="C161" s="18">
        <v>105</v>
      </c>
      <c r="D161" s="12" t="s">
        <v>282</v>
      </c>
      <c r="E161" s="12" t="s">
        <v>32</v>
      </c>
    </row>
    <row r="162" spans="1:5" x14ac:dyDescent="0.25">
      <c r="A162" s="17" t="s">
        <v>299</v>
      </c>
      <c r="B162" s="12" t="s">
        <v>300</v>
      </c>
      <c r="C162" s="18">
        <v>300</v>
      </c>
      <c r="D162" s="12" t="s">
        <v>109</v>
      </c>
      <c r="E162" s="12" t="s">
        <v>32</v>
      </c>
    </row>
    <row r="163" spans="1:5" x14ac:dyDescent="0.25">
      <c r="A163" s="17" t="s">
        <v>299</v>
      </c>
      <c r="B163" s="12" t="s">
        <v>301</v>
      </c>
      <c r="C163" s="18">
        <v>120</v>
      </c>
      <c r="D163" s="12" t="s">
        <v>282</v>
      </c>
      <c r="E163" s="12" t="s">
        <v>32</v>
      </c>
    </row>
    <row r="164" spans="1:5" x14ac:dyDescent="0.25">
      <c r="A164" s="17" t="s">
        <v>299</v>
      </c>
      <c r="B164" s="12" t="s">
        <v>302</v>
      </c>
      <c r="C164" s="18">
        <v>20</v>
      </c>
      <c r="D164" s="12" t="s">
        <v>282</v>
      </c>
      <c r="E164" s="12" t="s">
        <v>32</v>
      </c>
    </row>
    <row r="165" spans="1:5" x14ac:dyDescent="0.25">
      <c r="A165" s="17" t="s">
        <v>299</v>
      </c>
      <c r="B165" s="12" t="s">
        <v>303</v>
      </c>
      <c r="C165" s="18">
        <v>40</v>
      </c>
      <c r="D165" s="12" t="s">
        <v>203</v>
      </c>
      <c r="E165" s="12" t="s">
        <v>32</v>
      </c>
    </row>
    <row r="166" spans="1:5" x14ac:dyDescent="0.25">
      <c r="A166" s="17" t="s">
        <v>299</v>
      </c>
      <c r="B166" s="12" t="s">
        <v>304</v>
      </c>
      <c r="C166" s="18">
        <v>280</v>
      </c>
      <c r="D166" s="12" t="s">
        <v>203</v>
      </c>
      <c r="E166" s="12" t="s">
        <v>32</v>
      </c>
    </row>
    <row r="167" spans="1:5" x14ac:dyDescent="0.25">
      <c r="A167" s="17" t="s">
        <v>299</v>
      </c>
      <c r="B167" s="12" t="s">
        <v>305</v>
      </c>
      <c r="C167" s="18">
        <v>220</v>
      </c>
      <c r="D167" s="12" t="s">
        <v>282</v>
      </c>
      <c r="E167" s="12" t="s">
        <v>32</v>
      </c>
    </row>
    <row r="168" spans="1:5" x14ac:dyDescent="0.25">
      <c r="A168" s="17" t="s">
        <v>299</v>
      </c>
      <c r="B168" s="12" t="s">
        <v>306</v>
      </c>
      <c r="C168" s="18">
        <v>50</v>
      </c>
      <c r="D168" s="12" t="s">
        <v>282</v>
      </c>
      <c r="E168" s="12" t="s">
        <v>32</v>
      </c>
    </row>
    <row r="169" spans="1:5" x14ac:dyDescent="0.25">
      <c r="A169" s="17" t="s">
        <v>299</v>
      </c>
      <c r="B169" s="12" t="s">
        <v>307</v>
      </c>
      <c r="C169" s="18">
        <v>60</v>
      </c>
      <c r="D169" s="12" t="s">
        <v>282</v>
      </c>
      <c r="E169" s="12" t="s">
        <v>32</v>
      </c>
    </row>
    <row r="170" spans="1:5" x14ac:dyDescent="0.25">
      <c r="A170" s="17" t="s">
        <v>308</v>
      </c>
      <c r="B170" s="12" t="s">
        <v>309</v>
      </c>
      <c r="C170" s="18">
        <v>118</v>
      </c>
      <c r="D170" s="12" t="s">
        <v>203</v>
      </c>
      <c r="E170" s="12" t="s">
        <v>32</v>
      </c>
    </row>
    <row r="171" spans="1:5" x14ac:dyDescent="0.25">
      <c r="A171" s="15" t="s">
        <v>308</v>
      </c>
      <c r="B171" s="2" t="s">
        <v>177</v>
      </c>
      <c r="C171" s="3">
        <v>215</v>
      </c>
      <c r="D171" s="2" t="s">
        <v>111</v>
      </c>
      <c r="E171" s="2" t="s">
        <v>32</v>
      </c>
    </row>
    <row r="172" spans="1:5" x14ac:dyDescent="0.25">
      <c r="A172" s="15" t="s">
        <v>308</v>
      </c>
      <c r="B172" s="2" t="s">
        <v>237</v>
      </c>
      <c r="C172" s="3">
        <v>35</v>
      </c>
      <c r="D172" s="2" t="s">
        <v>109</v>
      </c>
      <c r="E172" s="2" t="s">
        <v>32</v>
      </c>
    </row>
    <row r="173" spans="1:5" x14ac:dyDescent="0.25">
      <c r="A173" s="15" t="s">
        <v>310</v>
      </c>
      <c r="B173" s="2" t="s">
        <v>267</v>
      </c>
      <c r="C173" s="3">
        <v>70</v>
      </c>
      <c r="D173" s="2" t="s">
        <v>111</v>
      </c>
      <c r="E173" s="2" t="s">
        <v>32</v>
      </c>
    </row>
    <row r="174" spans="1:5" x14ac:dyDescent="0.25">
      <c r="A174" s="15" t="s">
        <v>311</v>
      </c>
      <c r="B174" s="2" t="s">
        <v>312</v>
      </c>
      <c r="C174" s="3">
        <v>85</v>
      </c>
      <c r="D174" s="2" t="s">
        <v>102</v>
      </c>
      <c r="E174" s="2" t="s">
        <v>32</v>
      </c>
    </row>
    <row r="175" spans="1:5" x14ac:dyDescent="0.25">
      <c r="A175" s="15" t="s">
        <v>311</v>
      </c>
      <c r="B175" s="2" t="s">
        <v>245</v>
      </c>
      <c r="C175" s="3">
        <v>35</v>
      </c>
      <c r="D175" s="2" t="s">
        <v>111</v>
      </c>
      <c r="E175" s="2" t="s">
        <v>32</v>
      </c>
    </row>
    <row r="176" spans="1:5" x14ac:dyDescent="0.25">
      <c r="A176" s="15" t="s">
        <v>313</v>
      </c>
      <c r="B176" s="2" t="s">
        <v>314</v>
      </c>
      <c r="C176" s="3">
        <v>250</v>
      </c>
      <c r="D176" s="2" t="s">
        <v>109</v>
      </c>
      <c r="E176" s="2" t="s">
        <v>32</v>
      </c>
    </row>
    <row r="177" spans="1:5" x14ac:dyDescent="0.25">
      <c r="A177" s="15" t="s">
        <v>315</v>
      </c>
      <c r="B177" s="2" t="s">
        <v>316</v>
      </c>
      <c r="C177" s="3">
        <v>215</v>
      </c>
      <c r="D177" s="2" t="s">
        <v>102</v>
      </c>
      <c r="E177" s="2" t="s">
        <v>32</v>
      </c>
    </row>
    <row r="178" spans="1:5" x14ac:dyDescent="0.25">
      <c r="A178" s="15" t="s">
        <v>317</v>
      </c>
      <c r="B178" s="2" t="s">
        <v>318</v>
      </c>
      <c r="C178" s="3">
        <v>548</v>
      </c>
      <c r="D178" s="2" t="s">
        <v>102</v>
      </c>
      <c r="E178" s="2" t="s">
        <v>32</v>
      </c>
    </row>
    <row r="179" spans="1:5" x14ac:dyDescent="0.25">
      <c r="A179" s="15" t="s">
        <v>317</v>
      </c>
      <c r="B179" s="2" t="s">
        <v>192</v>
      </c>
      <c r="C179" s="3">
        <v>212</v>
      </c>
      <c r="D179" s="2" t="s">
        <v>111</v>
      </c>
      <c r="E179" s="2" t="s">
        <v>32</v>
      </c>
    </row>
    <row r="180" spans="1:5" x14ac:dyDescent="0.25">
      <c r="A180" s="15" t="s">
        <v>317</v>
      </c>
      <c r="B180" s="2" t="s">
        <v>319</v>
      </c>
      <c r="C180" s="3">
        <v>170</v>
      </c>
      <c r="D180" s="2" t="s">
        <v>111</v>
      </c>
      <c r="E180" s="2" t="s">
        <v>32</v>
      </c>
    </row>
    <row r="181" spans="1:5" x14ac:dyDescent="0.25">
      <c r="A181" s="15" t="s">
        <v>320</v>
      </c>
      <c r="B181" s="2" t="s">
        <v>245</v>
      </c>
      <c r="C181" s="3">
        <v>35</v>
      </c>
      <c r="D181" s="2" t="s">
        <v>111</v>
      </c>
      <c r="E181" s="2" t="s">
        <v>32</v>
      </c>
    </row>
    <row r="182" spans="1:5" x14ac:dyDescent="0.25">
      <c r="A182" s="15" t="s">
        <v>320</v>
      </c>
      <c r="B182" s="2" t="s">
        <v>321</v>
      </c>
      <c r="C182" s="3">
        <v>28</v>
      </c>
      <c r="D182" s="2" t="s">
        <v>109</v>
      </c>
      <c r="E182" s="2" t="s">
        <v>32</v>
      </c>
    </row>
    <row r="183" spans="1:5" x14ac:dyDescent="0.25">
      <c r="A183" s="15" t="s">
        <v>322</v>
      </c>
      <c r="B183" s="2" t="s">
        <v>323</v>
      </c>
      <c r="C183" s="3">
        <v>223</v>
      </c>
      <c r="D183" s="2" t="s">
        <v>102</v>
      </c>
      <c r="E183" s="2" t="s">
        <v>32</v>
      </c>
    </row>
    <row r="184" spans="1:5" x14ac:dyDescent="0.25">
      <c r="A184" s="15" t="s">
        <v>322</v>
      </c>
      <c r="B184" s="2" t="s">
        <v>324</v>
      </c>
      <c r="C184" s="3">
        <v>30</v>
      </c>
      <c r="D184" s="2" t="s">
        <v>111</v>
      </c>
      <c r="E184" s="2" t="s">
        <v>32</v>
      </c>
    </row>
    <row r="185" spans="1:5" x14ac:dyDescent="0.25">
      <c r="A185" s="15" t="s">
        <v>325</v>
      </c>
      <c r="B185" s="2" t="s">
        <v>326</v>
      </c>
      <c r="C185" s="3">
        <v>758</v>
      </c>
      <c r="D185" s="2" t="s">
        <v>109</v>
      </c>
      <c r="E185" s="2" t="s">
        <v>32</v>
      </c>
    </row>
    <row r="186" spans="1:5" x14ac:dyDescent="0.25">
      <c r="A186" s="15" t="s">
        <v>325</v>
      </c>
      <c r="B186" s="2" t="s">
        <v>177</v>
      </c>
      <c r="C186" s="3">
        <v>90</v>
      </c>
      <c r="D186" s="2" t="s">
        <v>111</v>
      </c>
      <c r="E186" s="2" t="s">
        <v>32</v>
      </c>
    </row>
    <row r="187" spans="1:5" x14ac:dyDescent="0.25">
      <c r="A187" s="15" t="s">
        <v>327</v>
      </c>
      <c r="B187" s="2" t="s">
        <v>328</v>
      </c>
      <c r="C187" s="3">
        <v>1100</v>
      </c>
      <c r="D187" s="2" t="s">
        <v>109</v>
      </c>
      <c r="E187" s="2" t="s">
        <v>32</v>
      </c>
    </row>
    <row r="188" spans="1:5" x14ac:dyDescent="0.25">
      <c r="A188" s="15" t="s">
        <v>327</v>
      </c>
      <c r="B188" s="2" t="s">
        <v>329</v>
      </c>
      <c r="C188" s="3">
        <v>600</v>
      </c>
      <c r="D188" s="2" t="s">
        <v>109</v>
      </c>
      <c r="E188" s="2" t="s">
        <v>32</v>
      </c>
    </row>
    <row r="189" spans="1:5" x14ac:dyDescent="0.25">
      <c r="A189" s="15" t="s">
        <v>330</v>
      </c>
      <c r="B189" s="2" t="s">
        <v>331</v>
      </c>
      <c r="C189" s="3">
        <v>2640</v>
      </c>
      <c r="D189" s="2" t="s">
        <v>109</v>
      </c>
      <c r="E189" s="2" t="s">
        <v>32</v>
      </c>
    </row>
    <row r="190" spans="1:5" x14ac:dyDescent="0.25">
      <c r="A190" s="15" t="s">
        <v>330</v>
      </c>
      <c r="B190" s="2" t="s">
        <v>332</v>
      </c>
      <c r="C190" s="3">
        <v>1100</v>
      </c>
      <c r="D190" s="2" t="s">
        <v>109</v>
      </c>
      <c r="E190" s="2" t="s">
        <v>32</v>
      </c>
    </row>
    <row r="191" spans="1:5" x14ac:dyDescent="0.25">
      <c r="A191" s="15" t="s">
        <v>330</v>
      </c>
      <c r="B191" s="2" t="s">
        <v>333</v>
      </c>
      <c r="C191" s="3">
        <v>3711</v>
      </c>
      <c r="D191" s="2" t="s">
        <v>109</v>
      </c>
      <c r="E191" s="2" t="s">
        <v>32</v>
      </c>
    </row>
    <row r="192" spans="1:5" x14ac:dyDescent="0.25">
      <c r="A192" s="15" t="s">
        <v>330</v>
      </c>
      <c r="B192" s="2" t="s">
        <v>334</v>
      </c>
      <c r="C192" s="3">
        <v>290</v>
      </c>
      <c r="D192" s="2" t="s">
        <v>109</v>
      </c>
      <c r="E192" s="2" t="s">
        <v>32</v>
      </c>
    </row>
    <row r="193" spans="1:5" x14ac:dyDescent="0.25">
      <c r="A193" s="15" t="s">
        <v>330</v>
      </c>
      <c r="B193" s="2" t="s">
        <v>335</v>
      </c>
      <c r="C193" s="3">
        <v>168</v>
      </c>
      <c r="D193" s="2" t="s">
        <v>109</v>
      </c>
      <c r="E193" s="2" t="s">
        <v>32</v>
      </c>
    </row>
    <row r="194" spans="1:5" x14ac:dyDescent="0.25">
      <c r="A194" s="16" t="s">
        <v>336</v>
      </c>
      <c r="B194" s="6" t="s">
        <v>102</v>
      </c>
      <c r="C194" s="7">
        <v>0</v>
      </c>
      <c r="D194" s="6" t="s">
        <v>102</v>
      </c>
      <c r="E194" s="6" t="s">
        <v>32</v>
      </c>
    </row>
    <row r="195" spans="1:5" x14ac:dyDescent="0.25">
      <c r="A195" s="15" t="s">
        <v>336</v>
      </c>
      <c r="B195" s="2" t="s">
        <v>237</v>
      </c>
      <c r="C195" s="3">
        <v>21</v>
      </c>
      <c r="D195" s="2" t="s">
        <v>102</v>
      </c>
      <c r="E195" s="2" t="s">
        <v>32</v>
      </c>
    </row>
    <row r="196" spans="1:5" x14ac:dyDescent="0.25">
      <c r="A196" s="15" t="s">
        <v>336</v>
      </c>
      <c r="B196" s="2" t="s">
        <v>266</v>
      </c>
      <c r="C196" s="3">
        <v>72</v>
      </c>
      <c r="D196" s="2" t="s">
        <v>109</v>
      </c>
      <c r="E196" s="2" t="s">
        <v>32</v>
      </c>
    </row>
    <row r="197" spans="1:5" x14ac:dyDescent="0.25">
      <c r="A197" s="15" t="s">
        <v>336</v>
      </c>
      <c r="B197" s="2" t="s">
        <v>337</v>
      </c>
      <c r="C197" s="3">
        <v>300</v>
      </c>
      <c r="D197" s="2" t="s">
        <v>111</v>
      </c>
      <c r="E197" s="2" t="s">
        <v>32</v>
      </c>
    </row>
    <row r="198" spans="1:5" x14ac:dyDescent="0.25">
      <c r="A198" s="15" t="s">
        <v>338</v>
      </c>
      <c r="B198" s="2" t="s">
        <v>339</v>
      </c>
      <c r="C198" s="3">
        <v>3210</v>
      </c>
      <c r="D198" s="2" t="s">
        <v>99</v>
      </c>
      <c r="E198" s="2" t="s">
        <v>26</v>
      </c>
    </row>
    <row r="199" spans="1:5" x14ac:dyDescent="0.25">
      <c r="A199" s="15" t="s">
        <v>338</v>
      </c>
      <c r="B199" s="2" t="s">
        <v>340</v>
      </c>
      <c r="C199" s="3">
        <v>637</v>
      </c>
      <c r="D199" s="2" t="s">
        <v>109</v>
      </c>
      <c r="E199" s="2" t="s">
        <v>26</v>
      </c>
    </row>
    <row r="200" spans="1:5" x14ac:dyDescent="0.25">
      <c r="A200" s="15" t="s">
        <v>31</v>
      </c>
      <c r="B200" s="2" t="s">
        <v>284</v>
      </c>
      <c r="C200" s="3">
        <v>180</v>
      </c>
      <c r="D200" s="2" t="s">
        <v>105</v>
      </c>
      <c r="E200" s="2" t="s">
        <v>26</v>
      </c>
    </row>
    <row r="201" spans="1:5" x14ac:dyDescent="0.25">
      <c r="A201" s="15" t="s">
        <v>341</v>
      </c>
      <c r="B201" s="2" t="s">
        <v>342</v>
      </c>
      <c r="C201" s="3">
        <v>140</v>
      </c>
      <c r="D201" s="2" t="s">
        <v>109</v>
      </c>
      <c r="E201" s="2" t="s">
        <v>26</v>
      </c>
    </row>
    <row r="202" spans="1:5" x14ac:dyDescent="0.25">
      <c r="A202" s="15" t="s">
        <v>343</v>
      </c>
      <c r="B202" s="2" t="s">
        <v>177</v>
      </c>
      <c r="C202" s="3">
        <v>220</v>
      </c>
      <c r="D202" s="2" t="s">
        <v>111</v>
      </c>
      <c r="E202" s="2" t="s">
        <v>26</v>
      </c>
    </row>
    <row r="203" spans="1:5" x14ac:dyDescent="0.25">
      <c r="A203" s="15" t="s">
        <v>344</v>
      </c>
      <c r="B203" s="2" t="s">
        <v>345</v>
      </c>
      <c r="C203" s="3">
        <v>115</v>
      </c>
      <c r="D203" s="2" t="s">
        <v>109</v>
      </c>
      <c r="E203" s="2" t="s">
        <v>26</v>
      </c>
    </row>
    <row r="204" spans="1:5" x14ac:dyDescent="0.25">
      <c r="A204" s="15" t="s">
        <v>344</v>
      </c>
      <c r="B204" s="2" t="s">
        <v>346</v>
      </c>
      <c r="C204" s="3">
        <v>94</v>
      </c>
      <c r="D204" s="2" t="s">
        <v>109</v>
      </c>
      <c r="E204" s="2" t="s">
        <v>26</v>
      </c>
    </row>
    <row r="205" spans="1:5" x14ac:dyDescent="0.25">
      <c r="A205" s="15" t="s">
        <v>344</v>
      </c>
      <c r="B205" s="2" t="s">
        <v>177</v>
      </c>
      <c r="C205" s="3">
        <v>20</v>
      </c>
      <c r="D205" s="2" t="s">
        <v>111</v>
      </c>
      <c r="E205" s="2" t="s">
        <v>26</v>
      </c>
    </row>
    <row r="206" spans="1:5" x14ac:dyDescent="0.25">
      <c r="A206" s="15" t="s">
        <v>344</v>
      </c>
      <c r="B206" s="2" t="s">
        <v>347</v>
      </c>
      <c r="C206" s="3">
        <v>445</v>
      </c>
      <c r="D206" s="2" t="s">
        <v>102</v>
      </c>
      <c r="E206" s="2" t="s">
        <v>26</v>
      </c>
    </row>
    <row r="207" spans="1:5" x14ac:dyDescent="0.25">
      <c r="A207" s="15" t="s">
        <v>344</v>
      </c>
      <c r="B207" s="2" t="s">
        <v>348</v>
      </c>
      <c r="C207" s="3">
        <v>1507</v>
      </c>
      <c r="D207" s="2" t="s">
        <v>102</v>
      </c>
      <c r="E207" s="2" t="s">
        <v>26</v>
      </c>
    </row>
    <row r="208" spans="1:5" x14ac:dyDescent="0.25">
      <c r="A208" s="15" t="s">
        <v>349</v>
      </c>
      <c r="B208" s="2" t="s">
        <v>350</v>
      </c>
      <c r="C208" s="3">
        <v>450</v>
      </c>
      <c r="D208" s="2" t="s">
        <v>109</v>
      </c>
      <c r="E208" s="2" t="s">
        <v>26</v>
      </c>
    </row>
    <row r="209" spans="1:5" x14ac:dyDescent="0.25">
      <c r="A209" s="15" t="s">
        <v>349</v>
      </c>
      <c r="B209" s="2" t="s">
        <v>351</v>
      </c>
      <c r="C209" s="3">
        <v>1174</v>
      </c>
      <c r="D209" s="2" t="s">
        <v>109</v>
      </c>
      <c r="E209" s="2" t="s">
        <v>26</v>
      </c>
    </row>
    <row r="210" spans="1:5" x14ac:dyDescent="0.25">
      <c r="A210" s="15" t="s">
        <v>28</v>
      </c>
      <c r="B210" s="2" t="s">
        <v>352</v>
      </c>
      <c r="C210" s="3">
        <v>35</v>
      </c>
      <c r="D210" s="2" t="s">
        <v>107</v>
      </c>
      <c r="E210" s="2" t="s">
        <v>26</v>
      </c>
    </row>
    <row r="211" spans="1:5" x14ac:dyDescent="0.25">
      <c r="A211" s="15" t="s">
        <v>28</v>
      </c>
      <c r="B211" s="2" t="s">
        <v>353</v>
      </c>
      <c r="C211" s="3">
        <v>430</v>
      </c>
      <c r="D211" s="2" t="s">
        <v>102</v>
      </c>
      <c r="E211" s="2" t="s">
        <v>26</v>
      </c>
    </row>
    <row r="212" spans="1:5" x14ac:dyDescent="0.25">
      <c r="A212" s="15" t="s">
        <v>354</v>
      </c>
      <c r="B212" s="2" t="s">
        <v>355</v>
      </c>
      <c r="C212" s="3">
        <v>218</v>
      </c>
      <c r="D212" s="2" t="s">
        <v>109</v>
      </c>
      <c r="E212" s="2" t="s">
        <v>26</v>
      </c>
    </row>
    <row r="213" spans="1:5" x14ac:dyDescent="0.25">
      <c r="A213" s="15" t="s">
        <v>354</v>
      </c>
      <c r="B213" s="2" t="s">
        <v>356</v>
      </c>
      <c r="C213" s="3">
        <v>25</v>
      </c>
      <c r="D213" s="2" t="s">
        <v>109</v>
      </c>
      <c r="E213" s="2" t="s">
        <v>26</v>
      </c>
    </row>
    <row r="214" spans="1:5" x14ac:dyDescent="0.25">
      <c r="A214" s="15" t="s">
        <v>357</v>
      </c>
      <c r="B214" s="2" t="s">
        <v>358</v>
      </c>
      <c r="C214" s="3">
        <v>1499</v>
      </c>
      <c r="D214" s="2" t="s">
        <v>109</v>
      </c>
      <c r="E214" s="2" t="s">
        <v>26</v>
      </c>
    </row>
    <row r="215" spans="1:5" x14ac:dyDescent="0.25">
      <c r="A215" s="15" t="s">
        <v>359</v>
      </c>
      <c r="B215" s="2" t="s">
        <v>360</v>
      </c>
      <c r="C215" s="3">
        <v>372</v>
      </c>
      <c r="D215" s="2" t="s">
        <v>102</v>
      </c>
      <c r="E215" s="2" t="s">
        <v>26</v>
      </c>
    </row>
    <row r="216" spans="1:5" x14ac:dyDescent="0.25">
      <c r="A216" s="15" t="s">
        <v>359</v>
      </c>
      <c r="B216" s="2" t="s">
        <v>131</v>
      </c>
      <c r="C216" s="3">
        <v>36</v>
      </c>
      <c r="D216" s="2" t="s">
        <v>102</v>
      </c>
      <c r="E216" s="2" t="s">
        <v>26</v>
      </c>
    </row>
    <row r="217" spans="1:5" x14ac:dyDescent="0.25">
      <c r="A217" s="15" t="s">
        <v>359</v>
      </c>
      <c r="B217" s="2" t="s">
        <v>361</v>
      </c>
      <c r="C217" s="3">
        <v>20</v>
      </c>
      <c r="D217" s="2" t="s">
        <v>111</v>
      </c>
      <c r="E217" s="2" t="s">
        <v>26</v>
      </c>
    </row>
    <row r="218" spans="1:5" x14ac:dyDescent="0.25">
      <c r="A218" s="15" t="s">
        <v>359</v>
      </c>
      <c r="B218" s="2" t="s">
        <v>160</v>
      </c>
      <c r="C218" s="3">
        <v>145</v>
      </c>
      <c r="D218" s="2" t="s">
        <v>111</v>
      </c>
      <c r="E218" s="2" t="s">
        <v>26</v>
      </c>
    </row>
    <row r="219" spans="1:5" x14ac:dyDescent="0.25">
      <c r="A219" s="15" t="s">
        <v>359</v>
      </c>
      <c r="B219" s="2" t="s">
        <v>362</v>
      </c>
      <c r="C219" s="3">
        <v>19200</v>
      </c>
      <c r="D219" s="2" t="s">
        <v>103</v>
      </c>
      <c r="E219" s="2" t="s">
        <v>26</v>
      </c>
    </row>
    <row r="220" spans="1:5" x14ac:dyDescent="0.25">
      <c r="A220" s="15" t="s">
        <v>359</v>
      </c>
      <c r="B220" s="2" t="s">
        <v>363</v>
      </c>
      <c r="C220" s="3">
        <v>1800</v>
      </c>
      <c r="D220" s="2" t="s">
        <v>106</v>
      </c>
      <c r="E220" s="2" t="s">
        <v>26</v>
      </c>
    </row>
    <row r="221" spans="1:5" x14ac:dyDescent="0.25">
      <c r="A221" s="15" t="s">
        <v>359</v>
      </c>
      <c r="B221" s="2" t="s">
        <v>364</v>
      </c>
      <c r="C221" s="3">
        <v>500</v>
      </c>
      <c r="D221" s="2" t="s">
        <v>106</v>
      </c>
      <c r="E221" s="2" t="s">
        <v>26</v>
      </c>
    </row>
    <row r="222" spans="1:5" x14ac:dyDescent="0.25">
      <c r="A222" s="15" t="s">
        <v>359</v>
      </c>
      <c r="B222" s="2" t="s">
        <v>365</v>
      </c>
      <c r="C222" s="3">
        <v>650</v>
      </c>
      <c r="D222" s="2" t="s">
        <v>104</v>
      </c>
      <c r="E222" s="2" t="s">
        <v>26</v>
      </c>
    </row>
    <row r="223" spans="1:5" x14ac:dyDescent="0.25">
      <c r="A223" s="17" t="s">
        <v>366</v>
      </c>
      <c r="B223" s="12" t="s">
        <v>367</v>
      </c>
      <c r="C223" s="18">
        <v>1329</v>
      </c>
      <c r="D223" s="12" t="s">
        <v>235</v>
      </c>
      <c r="E223" s="12" t="s">
        <v>26</v>
      </c>
    </row>
    <row r="224" spans="1:5" x14ac:dyDescent="0.25">
      <c r="A224" s="15" t="s">
        <v>366</v>
      </c>
      <c r="B224" s="2" t="s">
        <v>368</v>
      </c>
      <c r="C224" s="3">
        <v>120</v>
      </c>
      <c r="D224" s="2" t="s">
        <v>104</v>
      </c>
      <c r="E224" s="2" t="s">
        <v>26</v>
      </c>
    </row>
    <row r="225" spans="1:5" x14ac:dyDescent="0.25">
      <c r="A225" s="15" t="s">
        <v>366</v>
      </c>
      <c r="B225" s="2" t="s">
        <v>369</v>
      </c>
      <c r="C225" s="3">
        <v>140</v>
      </c>
      <c r="D225" s="2" t="s">
        <v>111</v>
      </c>
      <c r="E225" s="2" t="s">
        <v>26</v>
      </c>
    </row>
    <row r="226" spans="1:5" x14ac:dyDescent="0.25">
      <c r="A226" s="15" t="s">
        <v>366</v>
      </c>
      <c r="B226" s="2" t="s">
        <v>370</v>
      </c>
      <c r="C226" s="3">
        <v>197</v>
      </c>
      <c r="D226" s="2" t="s">
        <v>102</v>
      </c>
      <c r="E226" s="2" t="s">
        <v>26</v>
      </c>
    </row>
    <row r="227" spans="1:5" x14ac:dyDescent="0.25">
      <c r="A227" s="15" t="s">
        <v>371</v>
      </c>
      <c r="B227" s="2" t="s">
        <v>372</v>
      </c>
      <c r="C227" s="3">
        <v>10</v>
      </c>
      <c r="D227" s="2" t="s">
        <v>111</v>
      </c>
      <c r="E227" s="2" t="s">
        <v>26</v>
      </c>
    </row>
    <row r="228" spans="1:5" x14ac:dyDescent="0.25">
      <c r="A228" s="15" t="s">
        <v>371</v>
      </c>
      <c r="B228" s="2" t="s">
        <v>266</v>
      </c>
      <c r="C228" s="3">
        <v>88</v>
      </c>
      <c r="D228" s="2" t="s">
        <v>109</v>
      </c>
      <c r="E228" s="2" t="s">
        <v>26</v>
      </c>
    </row>
    <row r="229" spans="1:5" x14ac:dyDescent="0.25">
      <c r="A229" s="15" t="s">
        <v>371</v>
      </c>
      <c r="B229" s="2" t="s">
        <v>373</v>
      </c>
      <c r="C229" s="3">
        <v>200</v>
      </c>
      <c r="D229" s="2" t="s">
        <v>111</v>
      </c>
      <c r="E229" s="2" t="s">
        <v>26</v>
      </c>
    </row>
    <row r="230" spans="1:5" x14ac:dyDescent="0.25">
      <c r="A230" s="15" t="s">
        <v>374</v>
      </c>
      <c r="B230" s="2" t="s">
        <v>375</v>
      </c>
      <c r="C230" s="3">
        <v>105</v>
      </c>
      <c r="D230" s="2" t="s">
        <v>102</v>
      </c>
      <c r="E230" s="2" t="s">
        <v>26</v>
      </c>
    </row>
    <row r="231" spans="1:5" x14ac:dyDescent="0.25">
      <c r="A231" s="15" t="s">
        <v>374</v>
      </c>
      <c r="B231" s="2" t="s">
        <v>376</v>
      </c>
      <c r="C231" s="3">
        <v>310</v>
      </c>
      <c r="D231" s="2" t="s">
        <v>102</v>
      </c>
      <c r="E231" s="2" t="s">
        <v>26</v>
      </c>
    </row>
    <row r="232" spans="1:5" x14ac:dyDescent="0.25">
      <c r="A232" s="17" t="s">
        <v>374</v>
      </c>
      <c r="B232" s="12" t="s">
        <v>377</v>
      </c>
      <c r="C232" s="18">
        <v>165</v>
      </c>
      <c r="D232" s="12" t="s">
        <v>203</v>
      </c>
      <c r="E232" s="12" t="s">
        <v>26</v>
      </c>
    </row>
    <row r="233" spans="1:5" x14ac:dyDescent="0.25">
      <c r="A233" s="17" t="s">
        <v>374</v>
      </c>
      <c r="B233" s="12" t="s">
        <v>378</v>
      </c>
      <c r="C233" s="18">
        <v>25</v>
      </c>
      <c r="D233" s="12" t="s">
        <v>109</v>
      </c>
      <c r="E233" s="12" t="s">
        <v>26</v>
      </c>
    </row>
    <row r="234" spans="1:5" x14ac:dyDescent="0.25">
      <c r="A234" s="17" t="s">
        <v>374</v>
      </c>
      <c r="B234" s="12" t="s">
        <v>379</v>
      </c>
      <c r="C234" s="18">
        <v>170</v>
      </c>
      <c r="D234" s="12" t="s">
        <v>282</v>
      </c>
      <c r="E234" s="12" t="s">
        <v>26</v>
      </c>
    </row>
    <row r="235" spans="1:5" x14ac:dyDescent="0.25">
      <c r="A235" s="15" t="s">
        <v>380</v>
      </c>
      <c r="B235" s="2" t="s">
        <v>208</v>
      </c>
      <c r="C235" s="3">
        <v>100</v>
      </c>
      <c r="D235" s="2" t="s">
        <v>111</v>
      </c>
      <c r="E235" s="2" t="s">
        <v>26</v>
      </c>
    </row>
    <row r="236" spans="1:5" x14ac:dyDescent="0.25">
      <c r="A236" s="17" t="s">
        <v>380</v>
      </c>
      <c r="B236" s="12" t="s">
        <v>381</v>
      </c>
      <c r="C236" s="18">
        <v>10</v>
      </c>
      <c r="D236" s="12" t="s">
        <v>282</v>
      </c>
      <c r="E236" s="12" t="s">
        <v>26</v>
      </c>
    </row>
    <row r="237" spans="1:5" x14ac:dyDescent="0.25">
      <c r="A237" s="17" t="s">
        <v>380</v>
      </c>
      <c r="B237" s="12" t="s">
        <v>382</v>
      </c>
      <c r="C237" s="18">
        <v>65</v>
      </c>
      <c r="D237" s="12" t="s">
        <v>282</v>
      </c>
      <c r="E237" s="12" t="s">
        <v>26</v>
      </c>
    </row>
    <row r="238" spans="1:5" x14ac:dyDescent="0.25">
      <c r="A238" s="17" t="s">
        <v>383</v>
      </c>
      <c r="B238" s="12" t="s">
        <v>384</v>
      </c>
      <c r="C238" s="18">
        <v>100</v>
      </c>
      <c r="D238" s="12" t="s">
        <v>109</v>
      </c>
      <c r="E238" s="12" t="s">
        <v>26</v>
      </c>
    </row>
    <row r="239" spans="1:5" x14ac:dyDescent="0.25">
      <c r="A239" s="15" t="s">
        <v>383</v>
      </c>
      <c r="B239" s="2" t="s">
        <v>105</v>
      </c>
      <c r="C239" s="3">
        <v>90</v>
      </c>
      <c r="D239" s="2" t="s">
        <v>105</v>
      </c>
      <c r="E239" s="2" t="s">
        <v>26</v>
      </c>
    </row>
    <row r="240" spans="1:5" x14ac:dyDescent="0.25">
      <c r="A240" s="17" t="s">
        <v>383</v>
      </c>
      <c r="B240" s="12" t="s">
        <v>385</v>
      </c>
      <c r="C240" s="18">
        <v>100</v>
      </c>
      <c r="D240" s="12" t="s">
        <v>203</v>
      </c>
      <c r="E240" s="12" t="s">
        <v>26</v>
      </c>
    </row>
    <row r="241" spans="1:5" x14ac:dyDescent="0.25">
      <c r="A241" s="17" t="s">
        <v>383</v>
      </c>
      <c r="B241" s="12" t="s">
        <v>386</v>
      </c>
      <c r="C241" s="18">
        <v>10</v>
      </c>
      <c r="D241" s="12" t="s">
        <v>109</v>
      </c>
      <c r="E241" s="12" t="s">
        <v>26</v>
      </c>
    </row>
    <row r="242" spans="1:5" x14ac:dyDescent="0.25">
      <c r="A242" s="17" t="s">
        <v>383</v>
      </c>
      <c r="B242" s="12" t="s">
        <v>387</v>
      </c>
      <c r="C242" s="18">
        <v>200</v>
      </c>
      <c r="D242" s="12" t="s">
        <v>282</v>
      </c>
      <c r="E242" s="12" t="s">
        <v>26</v>
      </c>
    </row>
    <row r="243" spans="1:5" x14ac:dyDescent="0.25">
      <c r="A243" s="17" t="s">
        <v>383</v>
      </c>
      <c r="B243" s="12" t="s">
        <v>388</v>
      </c>
      <c r="C243" s="18">
        <v>800</v>
      </c>
      <c r="D243" s="12" t="s">
        <v>203</v>
      </c>
      <c r="E243" s="12" t="s">
        <v>26</v>
      </c>
    </row>
    <row r="244" spans="1:5" x14ac:dyDescent="0.25">
      <c r="A244" s="17" t="s">
        <v>383</v>
      </c>
      <c r="B244" s="12" t="s">
        <v>389</v>
      </c>
      <c r="C244" s="18">
        <v>10</v>
      </c>
      <c r="D244" s="12" t="s">
        <v>390</v>
      </c>
      <c r="E244" s="12" t="s">
        <v>26</v>
      </c>
    </row>
    <row r="245" spans="1:5" x14ac:dyDescent="0.25">
      <c r="A245" s="17" t="s">
        <v>383</v>
      </c>
      <c r="B245" s="12" t="s">
        <v>391</v>
      </c>
      <c r="C245" s="18">
        <v>40</v>
      </c>
      <c r="D245" s="12" t="s">
        <v>109</v>
      </c>
      <c r="E245" s="12" t="s">
        <v>26</v>
      </c>
    </row>
    <row r="246" spans="1:5" x14ac:dyDescent="0.25">
      <c r="A246" s="17" t="s">
        <v>383</v>
      </c>
      <c r="B246" s="12" t="s">
        <v>392</v>
      </c>
      <c r="C246" s="18">
        <v>80</v>
      </c>
      <c r="D246" s="12" t="s">
        <v>390</v>
      </c>
      <c r="E246" s="12" t="s">
        <v>26</v>
      </c>
    </row>
    <row r="247" spans="1:5" x14ac:dyDescent="0.25">
      <c r="A247" s="17" t="s">
        <v>383</v>
      </c>
      <c r="B247" s="12" t="s">
        <v>393</v>
      </c>
      <c r="C247" s="18">
        <v>40</v>
      </c>
      <c r="D247" s="12" t="s">
        <v>282</v>
      </c>
      <c r="E247" s="12" t="s">
        <v>26</v>
      </c>
    </row>
    <row r="248" spans="1:5" x14ac:dyDescent="0.25">
      <c r="A248" s="17" t="s">
        <v>383</v>
      </c>
      <c r="B248" s="12" t="s">
        <v>394</v>
      </c>
      <c r="C248" s="18">
        <v>100</v>
      </c>
      <c r="D248" s="12" t="s">
        <v>109</v>
      </c>
      <c r="E248" s="12" t="s">
        <v>26</v>
      </c>
    </row>
    <row r="249" spans="1:5" x14ac:dyDescent="0.25">
      <c r="A249" s="17" t="s">
        <v>383</v>
      </c>
      <c r="B249" s="12" t="s">
        <v>395</v>
      </c>
      <c r="C249" s="18">
        <v>667</v>
      </c>
      <c r="D249" s="12" t="s">
        <v>282</v>
      </c>
      <c r="E249" s="12" t="s">
        <v>26</v>
      </c>
    </row>
    <row r="250" spans="1:5" x14ac:dyDescent="0.25">
      <c r="A250" s="17" t="s">
        <v>383</v>
      </c>
      <c r="B250" s="12" t="s">
        <v>396</v>
      </c>
      <c r="C250" s="18">
        <v>120</v>
      </c>
      <c r="D250" s="12" t="s">
        <v>109</v>
      </c>
      <c r="E250" s="12" t="s">
        <v>26</v>
      </c>
    </row>
    <row r="251" spans="1:5" x14ac:dyDescent="0.25">
      <c r="A251" s="17" t="s">
        <v>383</v>
      </c>
      <c r="B251" s="12" t="s">
        <v>397</v>
      </c>
      <c r="C251" s="18">
        <v>50</v>
      </c>
      <c r="D251" s="12" t="s">
        <v>282</v>
      </c>
      <c r="E251" s="12" t="s">
        <v>26</v>
      </c>
    </row>
    <row r="252" spans="1:5" x14ac:dyDescent="0.25">
      <c r="A252" s="17" t="s">
        <v>383</v>
      </c>
      <c r="B252" s="12" t="s">
        <v>398</v>
      </c>
      <c r="C252" s="18">
        <v>50</v>
      </c>
      <c r="D252" s="12" t="s">
        <v>282</v>
      </c>
      <c r="E252" s="12" t="s">
        <v>26</v>
      </c>
    </row>
    <row r="253" spans="1:5" x14ac:dyDescent="0.25">
      <c r="A253" s="17" t="s">
        <v>383</v>
      </c>
      <c r="B253" s="12" t="s">
        <v>399</v>
      </c>
      <c r="C253" s="18">
        <v>50</v>
      </c>
      <c r="D253" s="12" t="s">
        <v>203</v>
      </c>
      <c r="E253" s="12" t="s">
        <v>26</v>
      </c>
    </row>
    <row r="254" spans="1:5" x14ac:dyDescent="0.25">
      <c r="A254" s="17" t="s">
        <v>383</v>
      </c>
      <c r="B254" s="12" t="s">
        <v>400</v>
      </c>
      <c r="C254" s="18">
        <v>20</v>
      </c>
      <c r="D254" s="12" t="s">
        <v>109</v>
      </c>
      <c r="E254" s="12" t="s">
        <v>26</v>
      </c>
    </row>
    <row r="255" spans="1:5" x14ac:dyDescent="0.25">
      <c r="A255" s="17" t="s">
        <v>383</v>
      </c>
      <c r="B255" s="12" t="s">
        <v>401</v>
      </c>
      <c r="C255" s="18">
        <v>120</v>
      </c>
      <c r="D255" s="12" t="s">
        <v>282</v>
      </c>
      <c r="E255" s="12" t="s">
        <v>26</v>
      </c>
    </row>
    <row r="256" spans="1:5" x14ac:dyDescent="0.25">
      <c r="A256" s="17" t="s">
        <v>383</v>
      </c>
      <c r="B256" s="12" t="s">
        <v>402</v>
      </c>
      <c r="C256" s="18">
        <v>40</v>
      </c>
      <c r="D256" s="12" t="s">
        <v>282</v>
      </c>
      <c r="E256" s="12" t="s">
        <v>26</v>
      </c>
    </row>
    <row r="257" spans="1:5" x14ac:dyDescent="0.25">
      <c r="A257" s="17" t="s">
        <v>403</v>
      </c>
      <c r="B257" s="12" t="s">
        <v>404</v>
      </c>
      <c r="C257" s="18">
        <v>150</v>
      </c>
      <c r="D257" s="12" t="s">
        <v>203</v>
      </c>
      <c r="E257" s="12" t="s">
        <v>26</v>
      </c>
    </row>
    <row r="258" spans="1:5" x14ac:dyDescent="0.25">
      <c r="A258" s="17" t="s">
        <v>403</v>
      </c>
      <c r="B258" s="12" t="s">
        <v>405</v>
      </c>
      <c r="C258" s="18">
        <v>25</v>
      </c>
      <c r="D258" s="12" t="s">
        <v>390</v>
      </c>
      <c r="E258" s="12" t="s">
        <v>26</v>
      </c>
    </row>
    <row r="259" spans="1:5" x14ac:dyDescent="0.25">
      <c r="A259" s="17" t="s">
        <v>403</v>
      </c>
      <c r="B259" s="12" t="s">
        <v>394</v>
      </c>
      <c r="C259" s="18">
        <v>30</v>
      </c>
      <c r="D259" s="12" t="s">
        <v>235</v>
      </c>
      <c r="E259" s="12" t="s">
        <v>26</v>
      </c>
    </row>
    <row r="260" spans="1:5" x14ac:dyDescent="0.25">
      <c r="A260" s="17" t="s">
        <v>403</v>
      </c>
      <c r="B260" s="12" t="s">
        <v>406</v>
      </c>
      <c r="C260" s="18">
        <v>20</v>
      </c>
      <c r="D260" s="12" t="s">
        <v>282</v>
      </c>
      <c r="E260" s="12" t="s">
        <v>26</v>
      </c>
    </row>
    <row r="261" spans="1:5" x14ac:dyDescent="0.25">
      <c r="A261" s="17" t="s">
        <v>403</v>
      </c>
      <c r="B261" s="12" t="s">
        <v>407</v>
      </c>
      <c r="C261" s="18">
        <v>80</v>
      </c>
      <c r="D261" s="12" t="s">
        <v>203</v>
      </c>
      <c r="E261" s="12" t="s">
        <v>26</v>
      </c>
    </row>
    <row r="262" spans="1:5" x14ac:dyDescent="0.25">
      <c r="A262" s="17" t="s">
        <v>403</v>
      </c>
      <c r="B262" s="12" t="s">
        <v>408</v>
      </c>
      <c r="C262" s="18">
        <v>100</v>
      </c>
      <c r="D262" s="12" t="s">
        <v>203</v>
      </c>
      <c r="E262" s="12" t="s">
        <v>26</v>
      </c>
    </row>
    <row r="263" spans="1:5" x14ac:dyDescent="0.25">
      <c r="A263" s="17" t="s">
        <v>403</v>
      </c>
      <c r="B263" s="12" t="s">
        <v>409</v>
      </c>
      <c r="C263" s="18">
        <v>40</v>
      </c>
      <c r="D263" s="12" t="s">
        <v>282</v>
      </c>
      <c r="E263" s="12" t="s">
        <v>26</v>
      </c>
    </row>
    <row r="264" spans="1:5" x14ac:dyDescent="0.25">
      <c r="A264" s="17" t="s">
        <v>403</v>
      </c>
      <c r="B264" s="12" t="s">
        <v>410</v>
      </c>
      <c r="C264" s="18">
        <v>100</v>
      </c>
      <c r="D264" s="12" t="s">
        <v>282</v>
      </c>
      <c r="E264" s="12" t="s">
        <v>26</v>
      </c>
    </row>
    <row r="265" spans="1:5" x14ac:dyDescent="0.25">
      <c r="A265" s="17" t="s">
        <v>403</v>
      </c>
      <c r="B265" s="12" t="s">
        <v>411</v>
      </c>
      <c r="C265" s="18">
        <v>10</v>
      </c>
      <c r="D265" s="12" t="s">
        <v>390</v>
      </c>
      <c r="E265" s="12" t="s">
        <v>26</v>
      </c>
    </row>
    <row r="266" spans="1:5" x14ac:dyDescent="0.25">
      <c r="A266" s="17" t="s">
        <v>403</v>
      </c>
      <c r="B266" s="12" t="s">
        <v>412</v>
      </c>
      <c r="C266" s="18">
        <v>900</v>
      </c>
      <c r="D266" s="12" t="s">
        <v>203</v>
      </c>
      <c r="E266" s="12" t="s">
        <v>26</v>
      </c>
    </row>
    <row r="267" spans="1:5" x14ac:dyDescent="0.25">
      <c r="A267" s="15" t="s">
        <v>403</v>
      </c>
      <c r="B267" s="2" t="s">
        <v>215</v>
      </c>
      <c r="C267" s="3">
        <v>40</v>
      </c>
      <c r="D267" s="2" t="s">
        <v>111</v>
      </c>
      <c r="E267" s="2" t="s">
        <v>26</v>
      </c>
    </row>
    <row r="268" spans="1:5" x14ac:dyDescent="0.25">
      <c r="A268" s="15" t="s">
        <v>403</v>
      </c>
      <c r="B268" s="2" t="s">
        <v>413</v>
      </c>
      <c r="C268" s="3">
        <v>25</v>
      </c>
      <c r="D268" s="2" t="s">
        <v>111</v>
      </c>
      <c r="E268" s="2" t="s">
        <v>26</v>
      </c>
    </row>
    <row r="269" spans="1:5" x14ac:dyDescent="0.25">
      <c r="A269" s="15" t="s">
        <v>403</v>
      </c>
      <c r="B269" s="2" t="s">
        <v>414</v>
      </c>
      <c r="C269" s="3">
        <v>20</v>
      </c>
      <c r="D269" s="2" t="s">
        <v>111</v>
      </c>
      <c r="E269" s="2" t="s">
        <v>26</v>
      </c>
    </row>
    <row r="270" spans="1:5" x14ac:dyDescent="0.25">
      <c r="A270" s="15" t="s">
        <v>403</v>
      </c>
      <c r="B270" s="2" t="s">
        <v>273</v>
      </c>
      <c r="C270" s="3">
        <v>50</v>
      </c>
      <c r="D270" s="2" t="s">
        <v>111</v>
      </c>
      <c r="E270" s="2" t="s">
        <v>26</v>
      </c>
    </row>
    <row r="271" spans="1:5" x14ac:dyDescent="0.25">
      <c r="A271" s="17" t="s">
        <v>403</v>
      </c>
      <c r="B271" s="12" t="s">
        <v>415</v>
      </c>
      <c r="C271" s="18">
        <v>120</v>
      </c>
      <c r="D271" s="12" t="s">
        <v>282</v>
      </c>
      <c r="E271" s="12" t="s">
        <v>26</v>
      </c>
    </row>
    <row r="272" spans="1:5" x14ac:dyDescent="0.25">
      <c r="A272" s="17" t="s">
        <v>403</v>
      </c>
      <c r="B272" s="12" t="s">
        <v>416</v>
      </c>
      <c r="C272" s="18">
        <v>100</v>
      </c>
      <c r="D272" s="12" t="s">
        <v>282</v>
      </c>
      <c r="E272" s="12" t="s">
        <v>26</v>
      </c>
    </row>
    <row r="273" spans="1:5" x14ac:dyDescent="0.25">
      <c r="A273" s="15" t="s">
        <v>417</v>
      </c>
      <c r="B273" s="2" t="s">
        <v>418</v>
      </c>
      <c r="C273" s="3">
        <v>170</v>
      </c>
      <c r="D273" s="2" t="s">
        <v>109</v>
      </c>
      <c r="E273" s="2" t="s">
        <v>26</v>
      </c>
    </row>
    <row r="274" spans="1:5" x14ac:dyDescent="0.25">
      <c r="A274" s="15" t="s">
        <v>417</v>
      </c>
      <c r="B274" s="2" t="s">
        <v>192</v>
      </c>
      <c r="C274" s="3">
        <v>280</v>
      </c>
      <c r="D274" s="2" t="s">
        <v>109</v>
      </c>
      <c r="E274" s="2" t="s">
        <v>26</v>
      </c>
    </row>
    <row r="275" spans="1:5" x14ac:dyDescent="0.25">
      <c r="A275" s="15" t="s">
        <v>419</v>
      </c>
      <c r="B275" s="2" t="s">
        <v>177</v>
      </c>
      <c r="C275" s="3">
        <v>120</v>
      </c>
      <c r="D275" s="2" t="s">
        <v>111</v>
      </c>
      <c r="E275" s="2" t="s">
        <v>26</v>
      </c>
    </row>
    <row r="276" spans="1:5" x14ac:dyDescent="0.25">
      <c r="A276" s="15" t="s">
        <v>419</v>
      </c>
      <c r="B276" s="2" t="s">
        <v>420</v>
      </c>
      <c r="C276" s="3">
        <v>220</v>
      </c>
      <c r="D276" s="2" t="s">
        <v>109</v>
      </c>
      <c r="E276" s="2" t="s">
        <v>26</v>
      </c>
    </row>
    <row r="277" spans="1:5" x14ac:dyDescent="0.25">
      <c r="A277" s="15" t="s">
        <v>419</v>
      </c>
      <c r="B277" s="2" t="s">
        <v>421</v>
      </c>
      <c r="C277" s="3">
        <v>80</v>
      </c>
      <c r="D277" s="2" t="s">
        <v>102</v>
      </c>
      <c r="E277" s="2" t="s">
        <v>26</v>
      </c>
    </row>
    <row r="278" spans="1:5" x14ac:dyDescent="0.25">
      <c r="A278" s="15" t="s">
        <v>419</v>
      </c>
      <c r="B278" s="2" t="s">
        <v>422</v>
      </c>
      <c r="C278" s="3">
        <v>3700</v>
      </c>
      <c r="D278" s="2" t="s">
        <v>106</v>
      </c>
      <c r="E278" s="2" t="s">
        <v>26</v>
      </c>
    </row>
    <row r="279" spans="1:5" x14ac:dyDescent="0.25">
      <c r="A279" s="15" t="s">
        <v>423</v>
      </c>
      <c r="B279" s="2" t="s">
        <v>142</v>
      </c>
      <c r="C279" s="3">
        <v>9888.41</v>
      </c>
      <c r="D279" s="2" t="s">
        <v>102</v>
      </c>
      <c r="E279" s="2" t="s">
        <v>26</v>
      </c>
    </row>
    <row r="280" spans="1:5" x14ac:dyDescent="0.25">
      <c r="A280" s="15" t="s">
        <v>424</v>
      </c>
      <c r="B280" s="2" t="s">
        <v>425</v>
      </c>
      <c r="C280" s="3">
        <v>237</v>
      </c>
      <c r="D280" s="2" t="s">
        <v>109</v>
      </c>
      <c r="E280" s="2" t="s">
        <v>26</v>
      </c>
    </row>
    <row r="281" spans="1:5" x14ac:dyDescent="0.25">
      <c r="A281" s="15" t="s">
        <v>426</v>
      </c>
      <c r="B281" s="2" t="s">
        <v>427</v>
      </c>
      <c r="C281" s="3">
        <v>11700</v>
      </c>
      <c r="D281" s="2" t="s">
        <v>197</v>
      </c>
      <c r="E281" s="2" t="s">
        <v>26</v>
      </c>
    </row>
    <row r="282" spans="1:5" x14ac:dyDescent="0.25">
      <c r="A282" s="15" t="s">
        <v>428</v>
      </c>
      <c r="B282" s="2" t="s">
        <v>429</v>
      </c>
      <c r="C282" s="3">
        <v>100</v>
      </c>
      <c r="D282" s="2" t="s">
        <v>109</v>
      </c>
      <c r="E282" s="2" t="s">
        <v>26</v>
      </c>
    </row>
    <row r="283" spans="1:5" x14ac:dyDescent="0.25">
      <c r="A283" s="15" t="s">
        <v>428</v>
      </c>
      <c r="B283" s="2" t="s">
        <v>430</v>
      </c>
      <c r="C283" s="3">
        <v>130</v>
      </c>
      <c r="D283" s="2" t="s">
        <v>111</v>
      </c>
      <c r="E283" s="2" t="s">
        <v>26</v>
      </c>
    </row>
    <row r="284" spans="1:5" x14ac:dyDescent="0.25">
      <c r="A284" s="15" t="s">
        <v>428</v>
      </c>
      <c r="B284" s="2" t="s">
        <v>431</v>
      </c>
      <c r="C284" s="3">
        <v>100</v>
      </c>
      <c r="D284" s="2" t="s">
        <v>106</v>
      </c>
      <c r="E284" s="2" t="s">
        <v>26</v>
      </c>
    </row>
    <row r="285" spans="1:5" x14ac:dyDescent="0.25">
      <c r="A285" s="16" t="s">
        <v>432</v>
      </c>
      <c r="B285" s="6" t="s">
        <v>109</v>
      </c>
      <c r="C285" s="7">
        <v>0</v>
      </c>
      <c r="D285" s="6" t="s">
        <v>109</v>
      </c>
      <c r="E285" s="6" t="s">
        <v>26</v>
      </c>
    </row>
    <row r="286" spans="1:5" x14ac:dyDescent="0.25">
      <c r="A286" s="15" t="s">
        <v>432</v>
      </c>
      <c r="B286" s="2" t="s">
        <v>128</v>
      </c>
      <c r="C286" s="3">
        <v>83</v>
      </c>
      <c r="D286" s="2" t="s">
        <v>109</v>
      </c>
      <c r="E286" s="2" t="s">
        <v>26</v>
      </c>
    </row>
    <row r="287" spans="1:5" x14ac:dyDescent="0.25">
      <c r="A287" s="15" t="s">
        <v>433</v>
      </c>
      <c r="B287" s="2" t="s">
        <v>434</v>
      </c>
      <c r="C287" s="3">
        <v>74</v>
      </c>
      <c r="D287" s="2" t="s">
        <v>109</v>
      </c>
      <c r="E287" s="2" t="s">
        <v>26</v>
      </c>
    </row>
    <row r="288" spans="1:5" x14ac:dyDescent="0.25">
      <c r="A288" s="15" t="s">
        <v>435</v>
      </c>
      <c r="B288" s="2" t="s">
        <v>436</v>
      </c>
      <c r="C288" s="3">
        <v>37</v>
      </c>
      <c r="D288" s="2" t="s">
        <v>107</v>
      </c>
      <c r="E288" s="2" t="s">
        <v>26</v>
      </c>
    </row>
    <row r="289" spans="1:5" x14ac:dyDescent="0.25">
      <c r="A289" s="15" t="s">
        <v>437</v>
      </c>
      <c r="B289" s="2" t="s">
        <v>177</v>
      </c>
      <c r="C289" s="3">
        <v>115</v>
      </c>
      <c r="D289" s="2" t="s">
        <v>111</v>
      </c>
      <c r="E289" s="2" t="s">
        <v>26</v>
      </c>
    </row>
    <row r="290" spans="1:5" x14ac:dyDescent="0.25">
      <c r="A290" s="15" t="s">
        <v>437</v>
      </c>
      <c r="B290" s="2" t="s">
        <v>438</v>
      </c>
      <c r="C290" s="3">
        <v>37</v>
      </c>
      <c r="D290" s="2" t="s">
        <v>107</v>
      </c>
      <c r="E290" s="2" t="s">
        <v>26</v>
      </c>
    </row>
    <row r="291" spans="1:5" x14ac:dyDescent="0.25">
      <c r="A291" s="15" t="s">
        <v>439</v>
      </c>
      <c r="B291" s="2" t="s">
        <v>195</v>
      </c>
      <c r="C291" s="3">
        <v>644</v>
      </c>
      <c r="D291" s="2" t="s">
        <v>107</v>
      </c>
      <c r="E291" s="2" t="s">
        <v>26</v>
      </c>
    </row>
    <row r="292" spans="1:5" x14ac:dyDescent="0.25">
      <c r="A292" s="15" t="s">
        <v>439</v>
      </c>
      <c r="B292" s="2" t="s">
        <v>440</v>
      </c>
      <c r="C292" s="3">
        <v>120</v>
      </c>
      <c r="D292" s="2" t="s">
        <v>111</v>
      </c>
      <c r="E292" s="2" t="s">
        <v>26</v>
      </c>
    </row>
    <row r="293" spans="1:5" x14ac:dyDescent="0.25">
      <c r="A293" s="15" t="s">
        <v>439</v>
      </c>
      <c r="B293" s="2" t="s">
        <v>438</v>
      </c>
      <c r="C293" s="3">
        <v>37</v>
      </c>
      <c r="D293" s="2" t="s">
        <v>107</v>
      </c>
      <c r="E293" s="2" t="s">
        <v>26</v>
      </c>
    </row>
    <row r="294" spans="1:5" x14ac:dyDescent="0.25">
      <c r="A294" s="15" t="s">
        <v>439</v>
      </c>
      <c r="B294" s="2" t="s">
        <v>441</v>
      </c>
      <c r="C294" s="3">
        <v>110</v>
      </c>
      <c r="D294" s="2" t="s">
        <v>109</v>
      </c>
      <c r="E294" s="2" t="s">
        <v>26</v>
      </c>
    </row>
    <row r="295" spans="1:5" x14ac:dyDescent="0.25">
      <c r="A295" s="15" t="s">
        <v>439</v>
      </c>
      <c r="B295" s="2" t="s">
        <v>442</v>
      </c>
      <c r="C295" s="3">
        <v>210</v>
      </c>
      <c r="D295" s="2" t="s">
        <v>109</v>
      </c>
      <c r="E295" s="2" t="s">
        <v>26</v>
      </c>
    </row>
    <row r="296" spans="1:5" x14ac:dyDescent="0.25">
      <c r="A296" s="15" t="s">
        <v>439</v>
      </c>
      <c r="B296" s="2" t="s">
        <v>443</v>
      </c>
      <c r="C296" s="3">
        <v>3990</v>
      </c>
      <c r="D296" s="2" t="s">
        <v>99</v>
      </c>
      <c r="E296" s="2" t="s">
        <v>26</v>
      </c>
    </row>
    <row r="297" spans="1:5" x14ac:dyDescent="0.25">
      <c r="A297" s="15" t="s">
        <v>444</v>
      </c>
      <c r="B297" s="2" t="s">
        <v>445</v>
      </c>
      <c r="C297" s="3">
        <v>300</v>
      </c>
      <c r="D297" s="2" t="s">
        <v>102</v>
      </c>
      <c r="E297" s="2" t="s">
        <v>20</v>
      </c>
    </row>
    <row r="298" spans="1:5" x14ac:dyDescent="0.25">
      <c r="A298" s="15" t="s">
        <v>444</v>
      </c>
      <c r="B298" s="2" t="s">
        <v>446</v>
      </c>
      <c r="C298" s="3">
        <v>180</v>
      </c>
      <c r="D298" s="2" t="s">
        <v>104</v>
      </c>
      <c r="E298" s="2" t="s">
        <v>20</v>
      </c>
    </row>
    <row r="299" spans="1:5" x14ac:dyDescent="0.25">
      <c r="A299" s="15" t="s">
        <v>444</v>
      </c>
      <c r="B299" s="2" t="s">
        <v>447</v>
      </c>
      <c r="C299" s="3">
        <v>3275</v>
      </c>
      <c r="D299" s="2" t="s">
        <v>104</v>
      </c>
      <c r="E299" s="2" t="s">
        <v>20</v>
      </c>
    </row>
    <row r="300" spans="1:5" x14ac:dyDescent="0.25">
      <c r="A300" s="15" t="s">
        <v>444</v>
      </c>
      <c r="B300" s="2" t="s">
        <v>448</v>
      </c>
      <c r="C300" s="3">
        <v>1097</v>
      </c>
      <c r="D300" s="2" t="s">
        <v>100</v>
      </c>
      <c r="E300" s="2" t="s">
        <v>20</v>
      </c>
    </row>
    <row r="301" spans="1:5" x14ac:dyDescent="0.25">
      <c r="A301" s="15" t="s">
        <v>449</v>
      </c>
      <c r="B301" s="2" t="s">
        <v>450</v>
      </c>
      <c r="C301" s="3">
        <v>1994</v>
      </c>
      <c r="D301" s="2" t="s">
        <v>107</v>
      </c>
      <c r="E301" s="2" t="s">
        <v>20</v>
      </c>
    </row>
    <row r="302" spans="1:5" x14ac:dyDescent="0.25">
      <c r="A302" s="15" t="s">
        <v>449</v>
      </c>
      <c r="B302" s="2" t="s">
        <v>451</v>
      </c>
      <c r="C302" s="3">
        <v>265</v>
      </c>
      <c r="D302" s="2" t="s">
        <v>102</v>
      </c>
      <c r="E302" s="2" t="s">
        <v>20</v>
      </c>
    </row>
    <row r="303" spans="1:5" x14ac:dyDescent="0.25">
      <c r="A303" s="15" t="s">
        <v>449</v>
      </c>
      <c r="B303" s="2" t="s">
        <v>452</v>
      </c>
      <c r="C303" s="3">
        <v>170</v>
      </c>
      <c r="D303" s="2" t="s">
        <v>111</v>
      </c>
      <c r="E303" s="2" t="s">
        <v>20</v>
      </c>
    </row>
    <row r="304" spans="1:5" x14ac:dyDescent="0.25">
      <c r="A304" s="15" t="s">
        <v>453</v>
      </c>
      <c r="B304" s="2" t="s">
        <v>454</v>
      </c>
      <c r="C304" s="3">
        <v>200</v>
      </c>
      <c r="D304" s="2" t="s">
        <v>111</v>
      </c>
      <c r="E304" s="2" t="s">
        <v>20</v>
      </c>
    </row>
    <row r="305" spans="1:5" x14ac:dyDescent="0.25">
      <c r="A305" s="15" t="s">
        <v>455</v>
      </c>
      <c r="B305" s="2" t="s">
        <v>456</v>
      </c>
      <c r="C305" s="3">
        <v>150.6</v>
      </c>
      <c r="D305" s="2" t="s">
        <v>109</v>
      </c>
      <c r="E305" s="2" t="s">
        <v>20</v>
      </c>
    </row>
    <row r="306" spans="1:5" x14ac:dyDescent="0.25">
      <c r="A306" s="16" t="s">
        <v>22</v>
      </c>
      <c r="B306" s="6" t="s">
        <v>109</v>
      </c>
      <c r="C306" s="7">
        <v>0</v>
      </c>
      <c r="D306" s="6" t="s">
        <v>109</v>
      </c>
      <c r="E306" s="6" t="s">
        <v>20</v>
      </c>
    </row>
    <row r="307" spans="1:5" x14ac:dyDescent="0.25">
      <c r="A307" s="16" t="s">
        <v>22</v>
      </c>
      <c r="B307" s="6" t="s">
        <v>109</v>
      </c>
      <c r="C307" s="7">
        <v>0</v>
      </c>
      <c r="D307" s="6" t="s">
        <v>109</v>
      </c>
      <c r="E307" s="6" t="s">
        <v>20</v>
      </c>
    </row>
    <row r="308" spans="1:5" x14ac:dyDescent="0.25">
      <c r="A308" s="15" t="s">
        <v>22</v>
      </c>
      <c r="B308" s="2" t="s">
        <v>457</v>
      </c>
      <c r="C308" s="3">
        <v>5500</v>
      </c>
      <c r="D308" s="2" t="s">
        <v>109</v>
      </c>
      <c r="E308" s="2" t="s">
        <v>20</v>
      </c>
    </row>
    <row r="309" spans="1:5" x14ac:dyDescent="0.25">
      <c r="A309" s="15" t="s">
        <v>22</v>
      </c>
      <c r="B309" s="2" t="s">
        <v>458</v>
      </c>
      <c r="C309" s="3">
        <v>19200</v>
      </c>
      <c r="D309" s="2" t="s">
        <v>103</v>
      </c>
      <c r="E309" s="2" t="s">
        <v>20</v>
      </c>
    </row>
    <row r="310" spans="1:5" x14ac:dyDescent="0.25">
      <c r="A310" s="15" t="s">
        <v>22</v>
      </c>
      <c r="B310" s="2" t="s">
        <v>459</v>
      </c>
      <c r="C310" s="3">
        <v>3075</v>
      </c>
      <c r="D310" s="2" t="s">
        <v>109</v>
      </c>
      <c r="E310" s="2" t="s">
        <v>20</v>
      </c>
    </row>
    <row r="311" spans="1:5" x14ac:dyDescent="0.25">
      <c r="A311" s="15" t="s">
        <v>22</v>
      </c>
      <c r="B311" s="2" t="s">
        <v>460</v>
      </c>
      <c r="C311" s="3">
        <v>20</v>
      </c>
      <c r="D311" s="2" t="s">
        <v>102</v>
      </c>
      <c r="E311" s="2" t="s">
        <v>20</v>
      </c>
    </row>
    <row r="312" spans="1:5" x14ac:dyDescent="0.25">
      <c r="A312" s="15" t="s">
        <v>22</v>
      </c>
      <c r="B312" s="2" t="s">
        <v>180</v>
      </c>
      <c r="C312" s="3">
        <v>300</v>
      </c>
      <c r="D312" s="2" t="s">
        <v>109</v>
      </c>
      <c r="E312" s="2" t="s">
        <v>20</v>
      </c>
    </row>
    <row r="313" spans="1:5" x14ac:dyDescent="0.25">
      <c r="A313" s="16" t="s">
        <v>461</v>
      </c>
      <c r="B313" s="6" t="s">
        <v>109</v>
      </c>
      <c r="C313" s="7">
        <v>0</v>
      </c>
      <c r="D313" s="6" t="s">
        <v>109</v>
      </c>
      <c r="E313" s="6" t="s">
        <v>20</v>
      </c>
    </row>
    <row r="314" spans="1:5" x14ac:dyDescent="0.25">
      <c r="A314" s="15" t="s">
        <v>461</v>
      </c>
      <c r="B314" s="2" t="s">
        <v>462</v>
      </c>
      <c r="C314" s="3">
        <v>60</v>
      </c>
      <c r="D314" s="2" t="s">
        <v>109</v>
      </c>
      <c r="E314" s="2" t="s">
        <v>20</v>
      </c>
    </row>
    <row r="315" spans="1:5" x14ac:dyDescent="0.25">
      <c r="A315" s="15" t="s">
        <v>463</v>
      </c>
      <c r="B315" s="2" t="s">
        <v>464</v>
      </c>
      <c r="C315" s="3">
        <v>13535</v>
      </c>
      <c r="D315" s="2" t="s">
        <v>108</v>
      </c>
      <c r="E315" s="2" t="s">
        <v>20</v>
      </c>
    </row>
    <row r="316" spans="1:5" x14ac:dyDescent="0.25">
      <c r="A316" s="15" t="s">
        <v>463</v>
      </c>
      <c r="B316" s="2" t="s">
        <v>465</v>
      </c>
      <c r="C316" s="3">
        <v>1562</v>
      </c>
      <c r="D316" s="2" t="s">
        <v>107</v>
      </c>
      <c r="E316" s="2" t="s">
        <v>20</v>
      </c>
    </row>
    <row r="317" spans="1:5" x14ac:dyDescent="0.25">
      <c r="A317" s="15" t="s">
        <v>466</v>
      </c>
      <c r="B317" s="2" t="s">
        <v>177</v>
      </c>
      <c r="C317" s="3">
        <v>85</v>
      </c>
      <c r="D317" s="2" t="s">
        <v>111</v>
      </c>
      <c r="E317" s="2" t="s">
        <v>20</v>
      </c>
    </row>
    <row r="318" spans="1:5" x14ac:dyDescent="0.25">
      <c r="A318" s="15" t="s">
        <v>466</v>
      </c>
      <c r="B318" s="2" t="s">
        <v>128</v>
      </c>
      <c r="C318" s="3">
        <v>158</v>
      </c>
      <c r="D318" s="2" t="s">
        <v>109</v>
      </c>
      <c r="E318" s="2" t="s">
        <v>20</v>
      </c>
    </row>
    <row r="319" spans="1:5" x14ac:dyDescent="0.25">
      <c r="A319" s="15" t="s">
        <v>466</v>
      </c>
      <c r="B319" s="2" t="s">
        <v>270</v>
      </c>
      <c r="C319" s="3">
        <v>6000</v>
      </c>
      <c r="D319" s="2" t="s">
        <v>106</v>
      </c>
      <c r="E319" s="2" t="s">
        <v>20</v>
      </c>
    </row>
    <row r="320" spans="1:5" x14ac:dyDescent="0.25">
      <c r="A320" s="15" t="s">
        <v>466</v>
      </c>
      <c r="B320" s="2" t="s">
        <v>467</v>
      </c>
      <c r="C320" s="3">
        <v>500</v>
      </c>
      <c r="D320" s="2" t="s">
        <v>106</v>
      </c>
      <c r="E320" s="2" t="s">
        <v>20</v>
      </c>
    </row>
    <row r="321" spans="1:5" x14ac:dyDescent="0.25">
      <c r="A321" s="15" t="s">
        <v>466</v>
      </c>
      <c r="B321" s="2" t="s">
        <v>431</v>
      </c>
      <c r="C321" s="3">
        <v>200</v>
      </c>
      <c r="D321" s="2" t="s">
        <v>106</v>
      </c>
      <c r="E321" s="2" t="s">
        <v>20</v>
      </c>
    </row>
    <row r="322" spans="1:5" x14ac:dyDescent="0.25">
      <c r="A322" s="15" t="s">
        <v>468</v>
      </c>
      <c r="B322" s="2" t="s">
        <v>237</v>
      </c>
      <c r="C322" s="3">
        <v>35</v>
      </c>
      <c r="D322" s="2" t="s">
        <v>109</v>
      </c>
      <c r="E322" s="2" t="s">
        <v>20</v>
      </c>
    </row>
    <row r="323" spans="1:5" x14ac:dyDescent="0.25">
      <c r="A323" s="15" t="s">
        <v>468</v>
      </c>
      <c r="B323" s="2" t="s">
        <v>245</v>
      </c>
      <c r="C323" s="3">
        <v>30</v>
      </c>
      <c r="D323" s="2" t="s">
        <v>111</v>
      </c>
      <c r="E323" s="2" t="s">
        <v>20</v>
      </c>
    </row>
    <row r="324" spans="1:5" x14ac:dyDescent="0.25">
      <c r="A324" s="15" t="s">
        <v>469</v>
      </c>
      <c r="B324" s="2" t="s">
        <v>470</v>
      </c>
      <c r="C324" s="3">
        <v>310</v>
      </c>
      <c r="D324" s="2" t="s">
        <v>109</v>
      </c>
      <c r="E324" s="2" t="s">
        <v>20</v>
      </c>
    </row>
    <row r="325" spans="1:5" x14ac:dyDescent="0.25">
      <c r="A325" s="15" t="s">
        <v>469</v>
      </c>
      <c r="B325" s="2" t="s">
        <v>471</v>
      </c>
      <c r="C325" s="3">
        <v>745</v>
      </c>
      <c r="D325" s="2" t="s">
        <v>109</v>
      </c>
      <c r="E325" s="2" t="s">
        <v>20</v>
      </c>
    </row>
    <row r="326" spans="1:5" x14ac:dyDescent="0.25">
      <c r="A326" s="15" t="s">
        <v>469</v>
      </c>
      <c r="B326" s="2" t="s">
        <v>472</v>
      </c>
      <c r="C326" s="3">
        <v>560</v>
      </c>
      <c r="D326" s="2" t="s">
        <v>109</v>
      </c>
      <c r="E326" s="2" t="s">
        <v>20</v>
      </c>
    </row>
    <row r="327" spans="1:5" x14ac:dyDescent="0.25">
      <c r="A327" s="15" t="s">
        <v>469</v>
      </c>
      <c r="B327" s="2" t="s">
        <v>473</v>
      </c>
      <c r="C327" s="3">
        <v>190</v>
      </c>
      <c r="D327" s="2" t="s">
        <v>105</v>
      </c>
      <c r="E327" s="2" t="s">
        <v>20</v>
      </c>
    </row>
    <row r="328" spans="1:5" x14ac:dyDescent="0.25">
      <c r="A328" s="17" t="s">
        <v>474</v>
      </c>
      <c r="B328" s="12" t="s">
        <v>475</v>
      </c>
      <c r="C328" s="18">
        <v>75</v>
      </c>
      <c r="D328" s="12" t="s">
        <v>282</v>
      </c>
      <c r="E328" s="12" t="s">
        <v>20</v>
      </c>
    </row>
    <row r="329" spans="1:5" x14ac:dyDescent="0.25">
      <c r="A329" s="17" t="s">
        <v>474</v>
      </c>
      <c r="B329" s="12" t="s">
        <v>476</v>
      </c>
      <c r="C329" s="18">
        <v>168</v>
      </c>
      <c r="D329" s="12" t="s">
        <v>203</v>
      </c>
      <c r="E329" s="12" t="s">
        <v>20</v>
      </c>
    </row>
    <row r="330" spans="1:5" x14ac:dyDescent="0.25">
      <c r="A330" s="17" t="s">
        <v>474</v>
      </c>
      <c r="B330" s="12" t="s">
        <v>477</v>
      </c>
      <c r="C330" s="18">
        <v>40</v>
      </c>
      <c r="D330" s="12" t="s">
        <v>282</v>
      </c>
      <c r="E330" s="12" t="s">
        <v>20</v>
      </c>
    </row>
    <row r="331" spans="1:5" x14ac:dyDescent="0.25">
      <c r="A331" s="17" t="s">
        <v>478</v>
      </c>
      <c r="B331" s="12" t="s">
        <v>479</v>
      </c>
      <c r="C331" s="18">
        <v>50</v>
      </c>
      <c r="D331" s="12" t="s">
        <v>282</v>
      </c>
      <c r="E331" s="12" t="s">
        <v>20</v>
      </c>
    </row>
    <row r="332" spans="1:5" x14ac:dyDescent="0.25">
      <c r="A332" s="17" t="s">
        <v>478</v>
      </c>
      <c r="B332" s="12" t="s">
        <v>480</v>
      </c>
      <c r="C332" s="18">
        <v>40</v>
      </c>
      <c r="D332" s="12" t="s">
        <v>282</v>
      </c>
      <c r="E332" s="12" t="s">
        <v>20</v>
      </c>
    </row>
    <row r="333" spans="1:5" x14ac:dyDescent="0.25">
      <c r="A333" s="17" t="s">
        <v>478</v>
      </c>
      <c r="B333" s="12" t="s">
        <v>481</v>
      </c>
      <c r="C333" s="18">
        <v>300</v>
      </c>
      <c r="D333" s="12" t="s">
        <v>282</v>
      </c>
      <c r="E333" s="12" t="s">
        <v>20</v>
      </c>
    </row>
    <row r="334" spans="1:5" x14ac:dyDescent="0.25">
      <c r="A334" s="17" t="s">
        <v>478</v>
      </c>
      <c r="B334" s="12" t="s">
        <v>482</v>
      </c>
      <c r="C334" s="18">
        <v>1040</v>
      </c>
      <c r="D334" s="12" t="s">
        <v>203</v>
      </c>
      <c r="E334" s="12" t="s">
        <v>20</v>
      </c>
    </row>
    <row r="335" spans="1:5" x14ac:dyDescent="0.25">
      <c r="A335" s="17" t="s">
        <v>478</v>
      </c>
      <c r="B335" s="12" t="s">
        <v>483</v>
      </c>
      <c r="C335" s="18">
        <v>25</v>
      </c>
      <c r="D335" s="12" t="s">
        <v>282</v>
      </c>
      <c r="E335" s="12" t="s">
        <v>20</v>
      </c>
    </row>
    <row r="336" spans="1:5" x14ac:dyDescent="0.25">
      <c r="A336" s="17" t="s">
        <v>478</v>
      </c>
      <c r="B336" s="12" t="s">
        <v>484</v>
      </c>
      <c r="C336" s="18">
        <v>30</v>
      </c>
      <c r="D336" s="12" t="s">
        <v>203</v>
      </c>
      <c r="E336" s="12" t="s">
        <v>20</v>
      </c>
    </row>
    <row r="337" spans="1:5" x14ac:dyDescent="0.25">
      <c r="A337" s="17" t="s">
        <v>478</v>
      </c>
      <c r="B337" s="12" t="s">
        <v>485</v>
      </c>
      <c r="C337" s="18">
        <v>30</v>
      </c>
      <c r="D337" s="12" t="s">
        <v>282</v>
      </c>
      <c r="E337" s="12" t="s">
        <v>20</v>
      </c>
    </row>
    <row r="338" spans="1:5" x14ac:dyDescent="0.25">
      <c r="A338" s="17" t="s">
        <v>478</v>
      </c>
      <c r="B338" s="12" t="s">
        <v>486</v>
      </c>
      <c r="C338" s="18">
        <v>90</v>
      </c>
      <c r="D338" s="12" t="s">
        <v>282</v>
      </c>
      <c r="E338" s="12" t="s">
        <v>20</v>
      </c>
    </row>
    <row r="339" spans="1:5" x14ac:dyDescent="0.25">
      <c r="A339" s="17" t="s">
        <v>478</v>
      </c>
      <c r="B339" s="12" t="s">
        <v>487</v>
      </c>
      <c r="C339" s="18">
        <v>290</v>
      </c>
      <c r="D339" s="12" t="s">
        <v>282</v>
      </c>
      <c r="E339" s="12" t="s">
        <v>20</v>
      </c>
    </row>
    <row r="340" spans="1:5" x14ac:dyDescent="0.25">
      <c r="A340" s="17" t="s">
        <v>488</v>
      </c>
      <c r="B340" s="12" t="s">
        <v>489</v>
      </c>
      <c r="C340" s="18">
        <v>50</v>
      </c>
      <c r="D340" s="12" t="s">
        <v>282</v>
      </c>
      <c r="E340" s="12" t="s">
        <v>20</v>
      </c>
    </row>
    <row r="341" spans="1:5" x14ac:dyDescent="0.25">
      <c r="A341" s="17" t="s">
        <v>488</v>
      </c>
      <c r="B341" s="12" t="s">
        <v>490</v>
      </c>
      <c r="C341" s="18">
        <v>70</v>
      </c>
      <c r="D341" s="12" t="s">
        <v>282</v>
      </c>
      <c r="E341" s="12" t="s">
        <v>20</v>
      </c>
    </row>
    <row r="342" spans="1:5" x14ac:dyDescent="0.25">
      <c r="A342" s="17" t="s">
        <v>488</v>
      </c>
      <c r="B342" s="12" t="s">
        <v>491</v>
      </c>
      <c r="C342" s="18">
        <v>180</v>
      </c>
      <c r="D342" s="12" t="s">
        <v>282</v>
      </c>
      <c r="E342" s="12" t="s">
        <v>20</v>
      </c>
    </row>
    <row r="343" spans="1:5" x14ac:dyDescent="0.25">
      <c r="A343" s="17" t="s">
        <v>488</v>
      </c>
      <c r="B343" s="12" t="s">
        <v>492</v>
      </c>
      <c r="C343" s="18">
        <v>50</v>
      </c>
      <c r="D343" s="12" t="s">
        <v>282</v>
      </c>
      <c r="E343" s="12" t="s">
        <v>20</v>
      </c>
    </row>
    <row r="344" spans="1:5" x14ac:dyDescent="0.25">
      <c r="A344" s="17" t="s">
        <v>488</v>
      </c>
      <c r="B344" s="12" t="s">
        <v>493</v>
      </c>
      <c r="C344" s="18">
        <v>50</v>
      </c>
      <c r="D344" s="12" t="s">
        <v>203</v>
      </c>
      <c r="E344" s="12" t="s">
        <v>20</v>
      </c>
    </row>
    <row r="345" spans="1:5" x14ac:dyDescent="0.25">
      <c r="A345" s="15" t="s">
        <v>488</v>
      </c>
      <c r="B345" s="2" t="s">
        <v>494</v>
      </c>
      <c r="C345" s="3">
        <v>20</v>
      </c>
      <c r="D345" s="2" t="s">
        <v>109</v>
      </c>
      <c r="E345" s="2" t="s">
        <v>20</v>
      </c>
    </row>
    <row r="346" spans="1:5" x14ac:dyDescent="0.25">
      <c r="A346" s="15" t="s">
        <v>488</v>
      </c>
      <c r="B346" s="2" t="s">
        <v>495</v>
      </c>
      <c r="C346" s="3">
        <v>50</v>
      </c>
      <c r="D346" s="2" t="s">
        <v>109</v>
      </c>
      <c r="E346" s="2" t="s">
        <v>20</v>
      </c>
    </row>
    <row r="347" spans="1:5" x14ac:dyDescent="0.25">
      <c r="A347" s="15" t="s">
        <v>488</v>
      </c>
      <c r="B347" s="2" t="s">
        <v>496</v>
      </c>
      <c r="C347" s="3">
        <v>50</v>
      </c>
      <c r="D347" s="2" t="s">
        <v>109</v>
      </c>
      <c r="E347" s="2" t="s">
        <v>20</v>
      </c>
    </row>
    <row r="348" spans="1:5" x14ac:dyDescent="0.25">
      <c r="A348" s="17" t="s">
        <v>488</v>
      </c>
      <c r="B348" s="12" t="s">
        <v>497</v>
      </c>
      <c r="C348" s="18">
        <v>1040</v>
      </c>
      <c r="D348" s="12" t="s">
        <v>203</v>
      </c>
      <c r="E348" s="12" t="s">
        <v>20</v>
      </c>
    </row>
    <row r="349" spans="1:5" x14ac:dyDescent="0.25">
      <c r="A349" s="15" t="s">
        <v>488</v>
      </c>
      <c r="B349" s="2" t="s">
        <v>498</v>
      </c>
      <c r="C349" s="3">
        <v>586</v>
      </c>
      <c r="D349" s="2" t="s">
        <v>109</v>
      </c>
      <c r="E349" s="2" t="s">
        <v>20</v>
      </c>
    </row>
    <row r="350" spans="1:5" x14ac:dyDescent="0.25">
      <c r="A350" s="15" t="s">
        <v>488</v>
      </c>
      <c r="B350" s="2" t="s">
        <v>499</v>
      </c>
      <c r="C350" s="3">
        <v>10</v>
      </c>
      <c r="D350" s="2" t="s">
        <v>109</v>
      </c>
      <c r="E350" s="2" t="s">
        <v>20</v>
      </c>
    </row>
    <row r="351" spans="1:5" x14ac:dyDescent="0.25">
      <c r="A351" s="17" t="s">
        <v>488</v>
      </c>
      <c r="B351" s="12" t="s">
        <v>500</v>
      </c>
      <c r="C351" s="18">
        <v>30</v>
      </c>
      <c r="D351" s="12" t="s">
        <v>203</v>
      </c>
      <c r="E351" s="12" t="s">
        <v>20</v>
      </c>
    </row>
    <row r="352" spans="1:5" x14ac:dyDescent="0.25">
      <c r="A352" s="17" t="s">
        <v>488</v>
      </c>
      <c r="B352" s="12" t="s">
        <v>501</v>
      </c>
      <c r="C352" s="18">
        <v>50</v>
      </c>
      <c r="D352" s="12" t="s">
        <v>203</v>
      </c>
      <c r="E352" s="12" t="s">
        <v>20</v>
      </c>
    </row>
    <row r="353" spans="1:5" x14ac:dyDescent="0.25">
      <c r="A353" s="17" t="s">
        <v>502</v>
      </c>
      <c r="B353" s="12" t="s">
        <v>480</v>
      </c>
      <c r="C353" s="18">
        <v>40</v>
      </c>
      <c r="D353" s="12" t="s">
        <v>282</v>
      </c>
      <c r="E353" s="12" t="s">
        <v>20</v>
      </c>
    </row>
    <row r="354" spans="1:5" x14ac:dyDescent="0.25">
      <c r="A354" s="17" t="s">
        <v>502</v>
      </c>
      <c r="B354" s="12" t="s">
        <v>503</v>
      </c>
      <c r="C354" s="18">
        <v>167</v>
      </c>
      <c r="D354" s="12" t="s">
        <v>203</v>
      </c>
      <c r="E354" s="12" t="s">
        <v>20</v>
      </c>
    </row>
    <row r="355" spans="1:5" x14ac:dyDescent="0.25">
      <c r="A355" s="15" t="s">
        <v>502</v>
      </c>
      <c r="B355" s="2" t="s">
        <v>504</v>
      </c>
      <c r="C355" s="3">
        <v>80</v>
      </c>
      <c r="D355" s="2" t="s">
        <v>109</v>
      </c>
      <c r="E355" s="2" t="s">
        <v>20</v>
      </c>
    </row>
    <row r="356" spans="1:5" x14ac:dyDescent="0.25">
      <c r="A356" s="15" t="s">
        <v>502</v>
      </c>
      <c r="B356" s="2" t="s">
        <v>505</v>
      </c>
      <c r="C356" s="3">
        <v>500</v>
      </c>
      <c r="D356" s="2" t="s">
        <v>101</v>
      </c>
      <c r="E356" s="2" t="s">
        <v>20</v>
      </c>
    </row>
    <row r="357" spans="1:5" x14ac:dyDescent="0.25">
      <c r="A357" s="15" t="s">
        <v>502</v>
      </c>
      <c r="B357" s="2" t="s">
        <v>506</v>
      </c>
      <c r="C357" s="3">
        <v>1200</v>
      </c>
      <c r="D357" s="2" t="s">
        <v>109</v>
      </c>
      <c r="E357" s="2" t="s">
        <v>20</v>
      </c>
    </row>
    <row r="358" spans="1:5" x14ac:dyDescent="0.25">
      <c r="A358" s="15" t="s">
        <v>502</v>
      </c>
      <c r="B358" s="2" t="s">
        <v>507</v>
      </c>
      <c r="C358" s="3">
        <v>260</v>
      </c>
      <c r="D358" s="2" t="s">
        <v>102</v>
      </c>
      <c r="E358" s="2" t="s">
        <v>20</v>
      </c>
    </row>
    <row r="359" spans="1:5" x14ac:dyDescent="0.25">
      <c r="A359" s="15" t="s">
        <v>502</v>
      </c>
      <c r="B359" s="2" t="s">
        <v>508</v>
      </c>
      <c r="C359" s="3">
        <v>120</v>
      </c>
      <c r="D359" s="2" t="s">
        <v>102</v>
      </c>
      <c r="E359" s="2" t="s">
        <v>20</v>
      </c>
    </row>
    <row r="360" spans="1:5" x14ac:dyDescent="0.25">
      <c r="A360" s="15" t="s">
        <v>502</v>
      </c>
      <c r="B360" s="2" t="s">
        <v>509</v>
      </c>
      <c r="C360" s="3">
        <v>320</v>
      </c>
      <c r="D360" s="2" t="s">
        <v>111</v>
      </c>
      <c r="E360" s="2" t="s">
        <v>20</v>
      </c>
    </row>
    <row r="361" spans="1:5" x14ac:dyDescent="0.25">
      <c r="A361" s="15" t="s">
        <v>510</v>
      </c>
      <c r="B361" s="2" t="s">
        <v>511</v>
      </c>
      <c r="C361" s="3">
        <v>100</v>
      </c>
      <c r="D361" s="2" t="s">
        <v>109</v>
      </c>
      <c r="E361" s="2" t="s">
        <v>20</v>
      </c>
    </row>
    <row r="362" spans="1:5" x14ac:dyDescent="0.25">
      <c r="A362" s="15" t="s">
        <v>510</v>
      </c>
      <c r="B362" s="2" t="s">
        <v>177</v>
      </c>
      <c r="C362" s="3">
        <v>130</v>
      </c>
      <c r="D362" s="2" t="s">
        <v>111</v>
      </c>
      <c r="E362" s="2" t="s">
        <v>20</v>
      </c>
    </row>
    <row r="363" spans="1:5" x14ac:dyDescent="0.25">
      <c r="A363" s="15" t="s">
        <v>512</v>
      </c>
      <c r="B363" s="2" t="s">
        <v>513</v>
      </c>
      <c r="C363" s="3">
        <v>140</v>
      </c>
      <c r="D363" s="2" t="s">
        <v>109</v>
      </c>
      <c r="E363" s="2" t="s">
        <v>20</v>
      </c>
    </row>
    <row r="364" spans="1:5" x14ac:dyDescent="0.25">
      <c r="A364" s="15" t="s">
        <v>514</v>
      </c>
      <c r="B364" s="2" t="s">
        <v>515</v>
      </c>
      <c r="C364" s="3">
        <v>6543</v>
      </c>
      <c r="D364" s="2" t="s">
        <v>112</v>
      </c>
      <c r="E364" s="2" t="s">
        <v>20</v>
      </c>
    </row>
    <row r="365" spans="1:5" x14ac:dyDescent="0.25">
      <c r="A365" s="15" t="s">
        <v>514</v>
      </c>
      <c r="B365" s="2" t="s">
        <v>163</v>
      </c>
      <c r="C365" s="3">
        <v>257</v>
      </c>
      <c r="D365" s="2" t="s">
        <v>102</v>
      </c>
      <c r="E365" s="2" t="s">
        <v>20</v>
      </c>
    </row>
    <row r="366" spans="1:5" x14ac:dyDescent="0.25">
      <c r="A366" s="15" t="s">
        <v>516</v>
      </c>
      <c r="B366" s="2" t="s">
        <v>440</v>
      </c>
      <c r="C366" s="3">
        <v>200</v>
      </c>
      <c r="D366" s="2" t="s">
        <v>111</v>
      </c>
      <c r="E366" s="2" t="s">
        <v>20</v>
      </c>
    </row>
    <row r="367" spans="1:5" x14ac:dyDescent="0.25">
      <c r="A367" s="15" t="s">
        <v>517</v>
      </c>
      <c r="B367" s="2" t="s">
        <v>518</v>
      </c>
      <c r="C367" s="3">
        <v>380</v>
      </c>
      <c r="D367" s="2" t="s">
        <v>102</v>
      </c>
      <c r="E367" s="2" t="s">
        <v>20</v>
      </c>
    </row>
    <row r="368" spans="1:5" x14ac:dyDescent="0.25">
      <c r="A368" s="15" t="s">
        <v>517</v>
      </c>
      <c r="B368" s="2" t="s">
        <v>519</v>
      </c>
      <c r="C368" s="3">
        <v>280</v>
      </c>
      <c r="D368" s="2" t="s">
        <v>102</v>
      </c>
      <c r="E368" s="2" t="s">
        <v>20</v>
      </c>
    </row>
    <row r="369" spans="1:5" x14ac:dyDescent="0.25">
      <c r="A369" s="15" t="s">
        <v>520</v>
      </c>
      <c r="B369" s="2" t="s">
        <v>521</v>
      </c>
      <c r="C369" s="3">
        <v>426</v>
      </c>
      <c r="D369" s="2" t="s">
        <v>111</v>
      </c>
      <c r="E369" s="2" t="s">
        <v>20</v>
      </c>
    </row>
    <row r="370" spans="1:5" x14ac:dyDescent="0.25">
      <c r="A370" s="15" t="s">
        <v>520</v>
      </c>
      <c r="B370" s="2" t="s">
        <v>195</v>
      </c>
      <c r="C370" s="3">
        <v>700</v>
      </c>
      <c r="D370" s="2" t="s">
        <v>107</v>
      </c>
      <c r="E370" s="2" t="s">
        <v>20</v>
      </c>
    </row>
    <row r="371" spans="1:5" x14ac:dyDescent="0.25">
      <c r="A371" s="15" t="s">
        <v>19</v>
      </c>
      <c r="B371" s="2" t="s">
        <v>522</v>
      </c>
      <c r="C371" s="3">
        <v>2760</v>
      </c>
      <c r="D371" s="2" t="s">
        <v>99</v>
      </c>
      <c r="E371" s="2" t="s">
        <v>14</v>
      </c>
    </row>
    <row r="372" spans="1:5" x14ac:dyDescent="0.25">
      <c r="A372" s="15" t="s">
        <v>523</v>
      </c>
      <c r="B372" s="2" t="s">
        <v>524</v>
      </c>
      <c r="C372" s="3">
        <v>210</v>
      </c>
      <c r="D372" s="2" t="s">
        <v>111</v>
      </c>
      <c r="E372" s="2" t="s">
        <v>14</v>
      </c>
    </row>
    <row r="373" spans="1:5" x14ac:dyDescent="0.25">
      <c r="A373" s="15" t="s">
        <v>523</v>
      </c>
      <c r="B373" s="2" t="s">
        <v>525</v>
      </c>
      <c r="C373" s="3">
        <v>220</v>
      </c>
      <c r="D373" s="2" t="s">
        <v>102</v>
      </c>
      <c r="E373" s="2" t="s">
        <v>14</v>
      </c>
    </row>
    <row r="374" spans="1:5" x14ac:dyDescent="0.25">
      <c r="A374" s="15" t="s">
        <v>523</v>
      </c>
      <c r="B374" s="2" t="s">
        <v>526</v>
      </c>
      <c r="C374" s="3">
        <v>990</v>
      </c>
      <c r="D374" s="2" t="s">
        <v>111</v>
      </c>
      <c r="E374" s="2" t="s">
        <v>14</v>
      </c>
    </row>
    <row r="375" spans="1:5" x14ac:dyDescent="0.25">
      <c r="A375" s="15" t="s">
        <v>16</v>
      </c>
      <c r="B375" s="2" t="s">
        <v>270</v>
      </c>
      <c r="C375" s="3">
        <v>6500</v>
      </c>
      <c r="D375" s="2" t="s">
        <v>106</v>
      </c>
      <c r="E375" s="2" t="s">
        <v>14</v>
      </c>
    </row>
    <row r="376" spans="1:5" x14ac:dyDescent="0.25">
      <c r="A376" s="15" t="s">
        <v>16</v>
      </c>
      <c r="B376" s="2" t="s">
        <v>527</v>
      </c>
      <c r="C376" s="3">
        <v>100</v>
      </c>
      <c r="D376" s="2" t="s">
        <v>104</v>
      </c>
      <c r="E376" s="2" t="s">
        <v>14</v>
      </c>
    </row>
    <row r="377" spans="1:5" x14ac:dyDescent="0.25">
      <c r="A377" s="15" t="s">
        <v>16</v>
      </c>
      <c r="B377" s="2" t="s">
        <v>194</v>
      </c>
      <c r="C377" s="3">
        <v>1490</v>
      </c>
      <c r="D377" s="2" t="s">
        <v>107</v>
      </c>
      <c r="E377" s="2" t="s">
        <v>14</v>
      </c>
    </row>
    <row r="378" spans="1:5" x14ac:dyDescent="0.25">
      <c r="A378" s="15" t="s">
        <v>16</v>
      </c>
      <c r="B378" s="2" t="s">
        <v>528</v>
      </c>
      <c r="C378" s="3">
        <v>19200</v>
      </c>
      <c r="D378" s="2" t="s">
        <v>103</v>
      </c>
      <c r="E378" s="2" t="s">
        <v>14</v>
      </c>
    </row>
    <row r="379" spans="1:5" x14ac:dyDescent="0.25">
      <c r="A379" s="15" t="s">
        <v>529</v>
      </c>
      <c r="B379" s="2" t="s">
        <v>530</v>
      </c>
      <c r="C379" s="3">
        <v>162</v>
      </c>
      <c r="D379" s="2" t="s">
        <v>109</v>
      </c>
      <c r="E379" s="2" t="s">
        <v>14</v>
      </c>
    </row>
    <row r="380" spans="1:5" x14ac:dyDescent="0.25">
      <c r="A380" s="15" t="s">
        <v>529</v>
      </c>
      <c r="B380" s="2" t="s">
        <v>445</v>
      </c>
      <c r="C380" s="3">
        <v>226</v>
      </c>
      <c r="D380" s="2" t="s">
        <v>102</v>
      </c>
      <c r="E380" s="2" t="s">
        <v>14</v>
      </c>
    </row>
    <row r="381" spans="1:5" x14ac:dyDescent="0.25">
      <c r="A381" s="15" t="s">
        <v>529</v>
      </c>
      <c r="B381" s="2" t="s">
        <v>531</v>
      </c>
      <c r="C381" s="3">
        <v>829</v>
      </c>
      <c r="D381" s="2" t="s">
        <v>102</v>
      </c>
      <c r="E381" s="2" t="s">
        <v>14</v>
      </c>
    </row>
    <row r="382" spans="1:5" x14ac:dyDescent="0.25">
      <c r="A382" s="15" t="s">
        <v>529</v>
      </c>
      <c r="B382" s="2" t="s">
        <v>208</v>
      </c>
      <c r="C382" s="3">
        <v>100</v>
      </c>
      <c r="D382" s="2" t="s">
        <v>111</v>
      </c>
      <c r="E382" s="2" t="s">
        <v>14</v>
      </c>
    </row>
    <row r="383" spans="1:5" x14ac:dyDescent="0.25">
      <c r="A383" s="15" t="s">
        <v>532</v>
      </c>
      <c r="B383" s="2" t="s">
        <v>445</v>
      </c>
      <c r="C383" s="3">
        <v>621</v>
      </c>
      <c r="D383" s="2" t="s">
        <v>102</v>
      </c>
      <c r="E383" s="2" t="s">
        <v>14</v>
      </c>
    </row>
    <row r="384" spans="1:5" x14ac:dyDescent="0.25">
      <c r="A384" s="15" t="s">
        <v>532</v>
      </c>
      <c r="B384" s="2" t="s">
        <v>533</v>
      </c>
      <c r="C384" s="3">
        <v>230</v>
      </c>
      <c r="D384" s="2" t="s">
        <v>105</v>
      </c>
      <c r="E384" s="2" t="s">
        <v>14</v>
      </c>
    </row>
    <row r="385" spans="1:5" x14ac:dyDescent="0.25">
      <c r="A385" s="15" t="s">
        <v>534</v>
      </c>
      <c r="B385" s="2" t="s">
        <v>535</v>
      </c>
      <c r="C385" s="3">
        <v>459</v>
      </c>
      <c r="D385" s="2" t="s">
        <v>102</v>
      </c>
      <c r="E385" s="2" t="s">
        <v>14</v>
      </c>
    </row>
    <row r="386" spans="1:5" x14ac:dyDescent="0.25">
      <c r="A386" s="15" t="s">
        <v>534</v>
      </c>
      <c r="B386" s="2" t="s">
        <v>536</v>
      </c>
      <c r="C386" s="3">
        <v>2596</v>
      </c>
      <c r="D386" s="2" t="s">
        <v>109</v>
      </c>
      <c r="E386" s="2" t="s">
        <v>14</v>
      </c>
    </row>
    <row r="387" spans="1:5" x14ac:dyDescent="0.25">
      <c r="A387" s="15" t="s">
        <v>534</v>
      </c>
      <c r="B387" s="2" t="s">
        <v>445</v>
      </c>
      <c r="C387" s="3">
        <v>119</v>
      </c>
      <c r="D387" s="2" t="s">
        <v>102</v>
      </c>
      <c r="E387" s="2" t="s">
        <v>14</v>
      </c>
    </row>
    <row r="388" spans="1:5" x14ac:dyDescent="0.25">
      <c r="A388" s="15" t="s">
        <v>534</v>
      </c>
      <c r="B388" s="2" t="s">
        <v>537</v>
      </c>
      <c r="C388" s="3">
        <v>287</v>
      </c>
      <c r="D388" s="2" t="s">
        <v>109</v>
      </c>
      <c r="E388" s="2" t="s">
        <v>14</v>
      </c>
    </row>
    <row r="389" spans="1:5" x14ac:dyDescent="0.25">
      <c r="A389" s="15" t="s">
        <v>538</v>
      </c>
      <c r="B389" s="2" t="s">
        <v>177</v>
      </c>
      <c r="C389" s="3">
        <v>290</v>
      </c>
      <c r="D389" s="2" t="s">
        <v>111</v>
      </c>
      <c r="E389" s="2" t="s">
        <v>14</v>
      </c>
    </row>
    <row r="390" spans="1:5" x14ac:dyDescent="0.25">
      <c r="A390" s="15" t="s">
        <v>538</v>
      </c>
      <c r="B390" s="2" t="s">
        <v>539</v>
      </c>
      <c r="C390" s="3">
        <v>502</v>
      </c>
      <c r="D390" s="2" t="s">
        <v>102</v>
      </c>
      <c r="E390" s="2" t="s">
        <v>14</v>
      </c>
    </row>
    <row r="391" spans="1:5" x14ac:dyDescent="0.25">
      <c r="A391" s="15" t="s">
        <v>538</v>
      </c>
      <c r="B391" s="2" t="s">
        <v>540</v>
      </c>
      <c r="C391" s="3">
        <v>100</v>
      </c>
      <c r="D391" s="2" t="s">
        <v>111</v>
      </c>
      <c r="E391" s="2" t="s">
        <v>14</v>
      </c>
    </row>
    <row r="392" spans="1:5" x14ac:dyDescent="0.25">
      <c r="A392" s="15" t="s">
        <v>541</v>
      </c>
      <c r="B392" s="2" t="s">
        <v>163</v>
      </c>
      <c r="C392" s="3">
        <v>276</v>
      </c>
      <c r="D392" s="2" t="s">
        <v>102</v>
      </c>
      <c r="E392" s="2" t="s">
        <v>14</v>
      </c>
    </row>
    <row r="393" spans="1:5" x14ac:dyDescent="0.25">
      <c r="A393" s="15" t="s">
        <v>542</v>
      </c>
      <c r="B393" s="2" t="s">
        <v>543</v>
      </c>
      <c r="C393" s="3">
        <v>70</v>
      </c>
      <c r="D393" s="2" t="s">
        <v>102</v>
      </c>
      <c r="E393" s="2" t="s">
        <v>14</v>
      </c>
    </row>
    <row r="394" spans="1:5" x14ac:dyDescent="0.25">
      <c r="A394" s="15" t="s">
        <v>544</v>
      </c>
      <c r="B394" s="2" t="s">
        <v>545</v>
      </c>
      <c r="C394" s="3">
        <v>120</v>
      </c>
      <c r="D394" s="2" t="s">
        <v>111</v>
      </c>
      <c r="E394" s="2" t="s">
        <v>14</v>
      </c>
    </row>
    <row r="395" spans="1:5" x14ac:dyDescent="0.25">
      <c r="A395" s="15" t="s">
        <v>546</v>
      </c>
      <c r="B395" s="2" t="s">
        <v>547</v>
      </c>
      <c r="C395" s="3">
        <v>1191</v>
      </c>
      <c r="D395" s="2" t="s">
        <v>109</v>
      </c>
      <c r="E395" s="2" t="s">
        <v>14</v>
      </c>
    </row>
    <row r="396" spans="1:5" x14ac:dyDescent="0.25">
      <c r="A396" s="15" t="s">
        <v>548</v>
      </c>
      <c r="B396" s="2" t="s">
        <v>549</v>
      </c>
      <c r="C396" s="3">
        <v>5666.24</v>
      </c>
      <c r="D396" s="2" t="s">
        <v>102</v>
      </c>
      <c r="E396" s="2" t="s">
        <v>14</v>
      </c>
    </row>
    <row r="397" spans="1:5" x14ac:dyDescent="0.25">
      <c r="A397" s="15" t="s">
        <v>548</v>
      </c>
      <c r="B397" s="2" t="s">
        <v>550</v>
      </c>
      <c r="C397" s="3">
        <v>75</v>
      </c>
      <c r="D397" s="2" t="s">
        <v>109</v>
      </c>
      <c r="E397" s="2" t="s">
        <v>14</v>
      </c>
    </row>
    <row r="398" spans="1:5" x14ac:dyDescent="0.25">
      <c r="A398" s="15" t="s">
        <v>548</v>
      </c>
      <c r="B398" s="2" t="s">
        <v>551</v>
      </c>
      <c r="C398" s="3">
        <v>331</v>
      </c>
      <c r="D398" s="2" t="s">
        <v>101</v>
      </c>
      <c r="E398" s="2" t="s">
        <v>14</v>
      </c>
    </row>
    <row r="399" spans="1:5" x14ac:dyDescent="0.25">
      <c r="A399" s="15" t="s">
        <v>548</v>
      </c>
      <c r="B399" s="2" t="s">
        <v>552</v>
      </c>
      <c r="C399" s="3">
        <v>87</v>
      </c>
      <c r="D399" s="2" t="s">
        <v>102</v>
      </c>
      <c r="E399" s="2" t="s">
        <v>14</v>
      </c>
    </row>
    <row r="400" spans="1:5" x14ac:dyDescent="0.25">
      <c r="A400" s="15" t="s">
        <v>548</v>
      </c>
      <c r="B400" s="2" t="s">
        <v>553</v>
      </c>
      <c r="C400" s="3">
        <v>95</v>
      </c>
      <c r="D400" s="2" t="s">
        <v>111</v>
      </c>
      <c r="E400" s="2" t="s">
        <v>14</v>
      </c>
    </row>
    <row r="401" spans="1:5" x14ac:dyDescent="0.25">
      <c r="A401" s="15" t="s">
        <v>548</v>
      </c>
      <c r="B401" s="2" t="s">
        <v>554</v>
      </c>
      <c r="C401" s="3">
        <v>1000</v>
      </c>
      <c r="D401" s="2" t="s">
        <v>106</v>
      </c>
      <c r="E401" s="2" t="s">
        <v>14</v>
      </c>
    </row>
    <row r="402" spans="1:5" x14ac:dyDescent="0.25">
      <c r="A402" s="15" t="s">
        <v>548</v>
      </c>
      <c r="B402" s="2" t="s">
        <v>224</v>
      </c>
      <c r="C402" s="3">
        <v>300</v>
      </c>
      <c r="D402" s="2" t="s">
        <v>111</v>
      </c>
      <c r="E402" s="2" t="s">
        <v>14</v>
      </c>
    </row>
    <row r="403" spans="1:5" x14ac:dyDescent="0.25">
      <c r="A403" s="15" t="s">
        <v>548</v>
      </c>
      <c r="B403" s="2" t="s">
        <v>555</v>
      </c>
      <c r="C403" s="3">
        <v>200</v>
      </c>
      <c r="D403" s="2" t="s">
        <v>109</v>
      </c>
      <c r="E403" s="2" t="s">
        <v>14</v>
      </c>
    </row>
    <row r="404" spans="1:5" x14ac:dyDescent="0.25">
      <c r="A404" s="15" t="s">
        <v>556</v>
      </c>
      <c r="B404" s="2" t="s">
        <v>530</v>
      </c>
      <c r="C404" s="3">
        <v>60</v>
      </c>
      <c r="D404" s="2" t="s">
        <v>109</v>
      </c>
      <c r="E404" s="2" t="s">
        <v>14</v>
      </c>
    </row>
    <row r="405" spans="1:5" x14ac:dyDescent="0.25">
      <c r="A405" s="15" t="s">
        <v>557</v>
      </c>
      <c r="B405" s="2" t="s">
        <v>558</v>
      </c>
      <c r="C405" s="3">
        <v>235</v>
      </c>
      <c r="D405" s="2" t="s">
        <v>109</v>
      </c>
      <c r="E405" s="2" t="s">
        <v>14</v>
      </c>
    </row>
    <row r="406" spans="1:5" x14ac:dyDescent="0.25">
      <c r="A406" s="15" t="s">
        <v>557</v>
      </c>
      <c r="B406" s="2" t="s">
        <v>237</v>
      </c>
      <c r="C406" s="3">
        <v>42</v>
      </c>
      <c r="D406" s="2" t="s">
        <v>109</v>
      </c>
      <c r="E406" s="2" t="s">
        <v>14</v>
      </c>
    </row>
    <row r="407" spans="1:5" x14ac:dyDescent="0.25">
      <c r="A407" s="15" t="s">
        <v>559</v>
      </c>
      <c r="B407" s="2" t="s">
        <v>553</v>
      </c>
      <c r="C407" s="3">
        <v>240</v>
      </c>
      <c r="D407" s="2" t="s">
        <v>111</v>
      </c>
      <c r="E407" s="2" t="s">
        <v>14</v>
      </c>
    </row>
    <row r="408" spans="1:5" x14ac:dyDescent="0.25">
      <c r="A408" s="15" t="s">
        <v>559</v>
      </c>
      <c r="B408" s="2" t="s">
        <v>268</v>
      </c>
      <c r="C408" s="3">
        <v>20</v>
      </c>
      <c r="D408" s="2" t="s">
        <v>109</v>
      </c>
      <c r="E408" s="2" t="s">
        <v>14</v>
      </c>
    </row>
    <row r="409" spans="1:5" x14ac:dyDescent="0.25">
      <c r="A409" s="15" t="s">
        <v>560</v>
      </c>
      <c r="B409" s="2" t="s">
        <v>192</v>
      </c>
      <c r="C409" s="3">
        <v>262</v>
      </c>
      <c r="D409" s="2" t="s">
        <v>111</v>
      </c>
      <c r="E409" s="2" t="s">
        <v>14</v>
      </c>
    </row>
    <row r="410" spans="1:5" x14ac:dyDescent="0.25">
      <c r="A410" s="15" t="s">
        <v>560</v>
      </c>
      <c r="B410" s="2" t="s">
        <v>561</v>
      </c>
      <c r="C410" s="3">
        <v>60</v>
      </c>
      <c r="D410" s="2" t="s">
        <v>111</v>
      </c>
      <c r="E410" s="2" t="s">
        <v>14</v>
      </c>
    </row>
    <row r="411" spans="1:5" x14ac:dyDescent="0.25">
      <c r="A411" s="15" t="s">
        <v>560</v>
      </c>
      <c r="B411" s="2" t="s">
        <v>562</v>
      </c>
      <c r="C411" s="3">
        <v>92</v>
      </c>
      <c r="D411" s="2" t="s">
        <v>102</v>
      </c>
      <c r="E411" s="2" t="s">
        <v>14</v>
      </c>
    </row>
    <row r="412" spans="1:5" x14ac:dyDescent="0.25">
      <c r="A412" s="15" t="s">
        <v>563</v>
      </c>
      <c r="B412" s="2" t="s">
        <v>564</v>
      </c>
      <c r="C412" s="3">
        <v>660</v>
      </c>
      <c r="D412" s="2" t="s">
        <v>104</v>
      </c>
      <c r="E412" s="2" t="s">
        <v>14</v>
      </c>
    </row>
    <row r="413" spans="1:5" x14ac:dyDescent="0.25">
      <c r="A413" s="15" t="s">
        <v>563</v>
      </c>
      <c r="B413" s="2" t="s">
        <v>565</v>
      </c>
      <c r="C413" s="3">
        <v>90</v>
      </c>
      <c r="D413" s="2" t="s">
        <v>109</v>
      </c>
      <c r="E413" s="2" t="s">
        <v>14</v>
      </c>
    </row>
    <row r="414" spans="1:5" x14ac:dyDescent="0.25">
      <c r="A414" s="15" t="s">
        <v>566</v>
      </c>
      <c r="B414" s="2" t="s">
        <v>567</v>
      </c>
      <c r="C414" s="3">
        <v>90</v>
      </c>
      <c r="D414" s="2" t="s">
        <v>102</v>
      </c>
      <c r="E414" s="2" t="s">
        <v>14</v>
      </c>
    </row>
    <row r="415" spans="1:5" x14ac:dyDescent="0.25">
      <c r="A415" s="15" t="s">
        <v>566</v>
      </c>
      <c r="B415" s="2" t="s">
        <v>568</v>
      </c>
      <c r="C415" s="3">
        <v>60</v>
      </c>
      <c r="D415" s="2" t="s">
        <v>109</v>
      </c>
      <c r="E415" s="2" t="s">
        <v>14</v>
      </c>
    </row>
    <row r="416" spans="1:5" x14ac:dyDescent="0.25">
      <c r="A416" s="15" t="s">
        <v>569</v>
      </c>
      <c r="B416" s="2" t="s">
        <v>570</v>
      </c>
      <c r="C416" s="3">
        <v>110</v>
      </c>
      <c r="D416" s="2" t="s">
        <v>111</v>
      </c>
      <c r="E416" s="2" t="s">
        <v>14</v>
      </c>
    </row>
    <row r="417" spans="1:5" x14ac:dyDescent="0.25">
      <c r="A417" s="15" t="s">
        <v>571</v>
      </c>
      <c r="B417" s="2" t="s">
        <v>195</v>
      </c>
      <c r="C417" s="3">
        <v>840</v>
      </c>
      <c r="D417" s="2" t="s">
        <v>107</v>
      </c>
      <c r="E417" s="2" t="s">
        <v>14</v>
      </c>
    </row>
    <row r="418" spans="1:5" x14ac:dyDescent="0.25">
      <c r="A418" s="15" t="s">
        <v>571</v>
      </c>
      <c r="B418" s="2" t="s">
        <v>572</v>
      </c>
      <c r="C418" s="3">
        <v>283</v>
      </c>
      <c r="D418" s="2" t="s">
        <v>102</v>
      </c>
      <c r="E418" s="2" t="s">
        <v>14</v>
      </c>
    </row>
    <row r="419" spans="1:5" x14ac:dyDescent="0.25">
      <c r="A419" s="15" t="s">
        <v>571</v>
      </c>
      <c r="B419" s="2" t="s">
        <v>573</v>
      </c>
      <c r="C419" s="3">
        <v>500</v>
      </c>
      <c r="D419" s="2" t="s">
        <v>109</v>
      </c>
      <c r="E419" s="2" t="s">
        <v>14</v>
      </c>
    </row>
    <row r="420" spans="1:5" x14ac:dyDescent="0.25">
      <c r="A420" s="16" t="s">
        <v>574</v>
      </c>
      <c r="B420" s="6" t="s">
        <v>109</v>
      </c>
      <c r="C420" s="7">
        <v>0</v>
      </c>
      <c r="D420" s="6" t="s">
        <v>109</v>
      </c>
      <c r="E420" s="6" t="s">
        <v>14</v>
      </c>
    </row>
    <row r="421" spans="1:5" x14ac:dyDescent="0.25">
      <c r="A421" s="16" t="s">
        <v>574</v>
      </c>
      <c r="B421" s="6" t="s">
        <v>109</v>
      </c>
      <c r="C421" s="7">
        <v>0</v>
      </c>
      <c r="D421" s="6" t="s">
        <v>109</v>
      </c>
      <c r="E421" s="6" t="s">
        <v>14</v>
      </c>
    </row>
    <row r="422" spans="1:5" x14ac:dyDescent="0.25">
      <c r="A422" s="15" t="s">
        <v>574</v>
      </c>
      <c r="B422" s="2" t="s">
        <v>192</v>
      </c>
      <c r="C422" s="3">
        <v>440</v>
      </c>
      <c r="D422" s="2" t="s">
        <v>111</v>
      </c>
      <c r="E422" s="2" t="s">
        <v>14</v>
      </c>
    </row>
    <row r="423" spans="1:5" x14ac:dyDescent="0.25">
      <c r="A423" s="15" t="s">
        <v>13</v>
      </c>
      <c r="B423" s="2" t="s">
        <v>575</v>
      </c>
      <c r="C423" s="3">
        <v>231</v>
      </c>
      <c r="D423" s="2" t="s">
        <v>102</v>
      </c>
      <c r="E423" s="2" t="s">
        <v>8</v>
      </c>
    </row>
    <row r="424" spans="1:5" x14ac:dyDescent="0.25">
      <c r="A424" s="15" t="s">
        <v>13</v>
      </c>
      <c r="B424" s="2" t="s">
        <v>576</v>
      </c>
      <c r="C424" s="3">
        <v>3750</v>
      </c>
      <c r="D424" s="2" t="s">
        <v>99</v>
      </c>
      <c r="E424" s="2" t="s">
        <v>8</v>
      </c>
    </row>
    <row r="425" spans="1:5" x14ac:dyDescent="0.25">
      <c r="A425" s="15" t="s">
        <v>13</v>
      </c>
      <c r="B425" s="2" t="s">
        <v>577</v>
      </c>
      <c r="C425" s="3">
        <v>480</v>
      </c>
      <c r="D425" s="2" t="s">
        <v>111</v>
      </c>
      <c r="E425" s="2" t="s">
        <v>8</v>
      </c>
    </row>
    <row r="426" spans="1:5" x14ac:dyDescent="0.25">
      <c r="A426" s="15" t="s">
        <v>578</v>
      </c>
      <c r="B426" s="2" t="s">
        <v>284</v>
      </c>
      <c r="C426" s="3">
        <v>110</v>
      </c>
      <c r="D426" s="2" t="s">
        <v>105</v>
      </c>
      <c r="E426" s="2" t="s">
        <v>8</v>
      </c>
    </row>
    <row r="427" spans="1:5" x14ac:dyDescent="0.25">
      <c r="A427" s="15" t="s">
        <v>578</v>
      </c>
      <c r="B427" s="2" t="s">
        <v>579</v>
      </c>
      <c r="C427" s="3">
        <v>320</v>
      </c>
      <c r="D427" s="2" t="s">
        <v>111</v>
      </c>
      <c r="E427" s="2" t="s">
        <v>8</v>
      </c>
    </row>
    <row r="428" spans="1:5" x14ac:dyDescent="0.25">
      <c r="A428" s="15" t="s">
        <v>578</v>
      </c>
      <c r="B428" s="2" t="s">
        <v>224</v>
      </c>
      <c r="C428" s="3">
        <v>130</v>
      </c>
      <c r="D428" s="2" t="s">
        <v>111</v>
      </c>
      <c r="E428" s="2" t="s">
        <v>8</v>
      </c>
    </row>
    <row r="429" spans="1:5" x14ac:dyDescent="0.25">
      <c r="A429" s="15" t="s">
        <v>580</v>
      </c>
      <c r="B429" s="2" t="s">
        <v>581</v>
      </c>
      <c r="C429" s="3">
        <v>1164</v>
      </c>
      <c r="D429" s="2" t="s">
        <v>100</v>
      </c>
      <c r="E429" s="2" t="s">
        <v>8</v>
      </c>
    </row>
    <row r="430" spans="1:5" x14ac:dyDescent="0.25">
      <c r="A430" s="15" t="s">
        <v>580</v>
      </c>
      <c r="B430" s="2" t="s">
        <v>259</v>
      </c>
      <c r="C430" s="3">
        <v>350</v>
      </c>
      <c r="D430" s="2" t="s">
        <v>109</v>
      </c>
      <c r="E430" s="2" t="s">
        <v>8</v>
      </c>
    </row>
    <row r="431" spans="1:5" x14ac:dyDescent="0.25">
      <c r="A431" s="15" t="s">
        <v>580</v>
      </c>
      <c r="B431" s="2" t="s">
        <v>582</v>
      </c>
      <c r="C431" s="3">
        <v>245</v>
      </c>
      <c r="D431" s="2" t="s">
        <v>102</v>
      </c>
      <c r="E431" s="2" t="s">
        <v>8</v>
      </c>
    </row>
    <row r="432" spans="1:5" x14ac:dyDescent="0.25">
      <c r="A432" s="15" t="s">
        <v>580</v>
      </c>
      <c r="B432" s="2" t="s">
        <v>583</v>
      </c>
      <c r="C432" s="3">
        <v>35</v>
      </c>
      <c r="D432" s="2" t="s">
        <v>111</v>
      </c>
      <c r="E432" s="2" t="s">
        <v>8</v>
      </c>
    </row>
    <row r="433" spans="1:5" x14ac:dyDescent="0.25">
      <c r="A433" s="15" t="s">
        <v>580</v>
      </c>
      <c r="B433" s="2" t="s">
        <v>584</v>
      </c>
      <c r="C433" s="3">
        <v>35</v>
      </c>
      <c r="D433" s="2" t="s">
        <v>102</v>
      </c>
      <c r="E433" s="2" t="s">
        <v>8</v>
      </c>
    </row>
    <row r="434" spans="1:5" x14ac:dyDescent="0.25">
      <c r="A434" s="15" t="s">
        <v>580</v>
      </c>
      <c r="B434" s="2" t="s">
        <v>585</v>
      </c>
      <c r="C434" s="3">
        <v>170</v>
      </c>
      <c r="D434" s="2" t="s">
        <v>102</v>
      </c>
      <c r="E434" s="2" t="s">
        <v>8</v>
      </c>
    </row>
    <row r="435" spans="1:5" x14ac:dyDescent="0.25">
      <c r="A435" s="15" t="s">
        <v>586</v>
      </c>
      <c r="B435" s="2" t="s">
        <v>587</v>
      </c>
      <c r="C435" s="3">
        <v>740</v>
      </c>
      <c r="D435" s="2" t="s">
        <v>109</v>
      </c>
      <c r="E435" s="2" t="s">
        <v>8</v>
      </c>
    </row>
    <row r="436" spans="1:5" x14ac:dyDescent="0.25">
      <c r="A436" s="15" t="s">
        <v>586</v>
      </c>
      <c r="B436" s="2" t="s">
        <v>588</v>
      </c>
      <c r="C436" s="3">
        <v>1200</v>
      </c>
      <c r="D436" s="2" t="s">
        <v>109</v>
      </c>
      <c r="E436" s="2" t="s">
        <v>8</v>
      </c>
    </row>
    <row r="437" spans="1:5" x14ac:dyDescent="0.25">
      <c r="A437" s="15" t="s">
        <v>586</v>
      </c>
      <c r="B437" s="2" t="s">
        <v>177</v>
      </c>
      <c r="C437" s="3">
        <v>280</v>
      </c>
      <c r="D437" s="2" t="s">
        <v>111</v>
      </c>
      <c r="E437" s="2" t="s">
        <v>8</v>
      </c>
    </row>
    <row r="438" spans="1:5" x14ac:dyDescent="0.25">
      <c r="A438" s="15" t="s">
        <v>10</v>
      </c>
      <c r="B438" s="2" t="s">
        <v>589</v>
      </c>
      <c r="C438" s="3">
        <v>158</v>
      </c>
      <c r="D438" s="2" t="s">
        <v>102</v>
      </c>
      <c r="E438" s="2" t="s">
        <v>8</v>
      </c>
    </row>
    <row r="439" spans="1:5" x14ac:dyDescent="0.25">
      <c r="A439" s="15" t="s">
        <v>10</v>
      </c>
      <c r="B439" s="2" t="s">
        <v>590</v>
      </c>
      <c r="C439" s="3">
        <v>140</v>
      </c>
      <c r="D439" s="2" t="s">
        <v>102</v>
      </c>
      <c r="E439" s="2" t="s">
        <v>8</v>
      </c>
    </row>
    <row r="440" spans="1:5" x14ac:dyDescent="0.25">
      <c r="A440" s="15" t="s">
        <v>10</v>
      </c>
      <c r="B440" s="2" t="s">
        <v>591</v>
      </c>
      <c r="C440" s="3">
        <v>55</v>
      </c>
      <c r="D440" s="2" t="s">
        <v>102</v>
      </c>
      <c r="E440" s="2" t="s">
        <v>8</v>
      </c>
    </row>
    <row r="441" spans="1:5" x14ac:dyDescent="0.25">
      <c r="A441" s="15" t="s">
        <v>10</v>
      </c>
      <c r="B441" s="2" t="s">
        <v>270</v>
      </c>
      <c r="C441" s="3">
        <v>6500</v>
      </c>
      <c r="D441" s="2" t="s">
        <v>106</v>
      </c>
      <c r="E441" s="2" t="s">
        <v>8</v>
      </c>
    </row>
    <row r="442" spans="1:5" x14ac:dyDescent="0.25">
      <c r="A442" s="15" t="s">
        <v>592</v>
      </c>
      <c r="B442" s="2" t="s">
        <v>593</v>
      </c>
      <c r="C442" s="3">
        <v>19200</v>
      </c>
      <c r="D442" s="2" t="s">
        <v>103</v>
      </c>
      <c r="E442" s="2" t="s">
        <v>8</v>
      </c>
    </row>
    <row r="443" spans="1:5" x14ac:dyDescent="0.25">
      <c r="A443" s="15" t="s">
        <v>592</v>
      </c>
      <c r="B443" s="2" t="s">
        <v>594</v>
      </c>
      <c r="C443" s="3">
        <v>11700</v>
      </c>
      <c r="D443" s="2" t="s">
        <v>197</v>
      </c>
      <c r="E443" s="2" t="s">
        <v>8</v>
      </c>
    </row>
    <row r="444" spans="1:5" x14ac:dyDescent="0.25">
      <c r="A444" s="15" t="s">
        <v>592</v>
      </c>
      <c r="B444" s="2" t="s">
        <v>595</v>
      </c>
      <c r="C444" s="3">
        <v>2270</v>
      </c>
      <c r="D444" s="2" t="s">
        <v>107</v>
      </c>
      <c r="E444" s="2" t="s">
        <v>8</v>
      </c>
    </row>
    <row r="445" spans="1:5" x14ac:dyDescent="0.25">
      <c r="A445" s="15" t="s">
        <v>596</v>
      </c>
      <c r="B445" s="2" t="s">
        <v>597</v>
      </c>
      <c r="C445" s="3">
        <v>240</v>
      </c>
      <c r="D445" s="2" t="s">
        <v>111</v>
      </c>
      <c r="E445" s="2" t="s">
        <v>8</v>
      </c>
    </row>
    <row r="446" spans="1:5" x14ac:dyDescent="0.25">
      <c r="A446" s="15" t="s">
        <v>596</v>
      </c>
      <c r="B446" s="2" t="s">
        <v>598</v>
      </c>
      <c r="C446" s="3">
        <v>882</v>
      </c>
      <c r="D446" s="2" t="s">
        <v>102</v>
      </c>
      <c r="E446" s="2" t="s">
        <v>8</v>
      </c>
    </row>
    <row r="447" spans="1:5" x14ac:dyDescent="0.25">
      <c r="A447" s="15" t="s">
        <v>599</v>
      </c>
      <c r="B447" s="2" t="s">
        <v>552</v>
      </c>
      <c r="C447" s="3">
        <v>127</v>
      </c>
      <c r="D447" s="2" t="s">
        <v>102</v>
      </c>
      <c r="E447" s="2" t="s">
        <v>8</v>
      </c>
    </row>
    <row r="448" spans="1:5" x14ac:dyDescent="0.25">
      <c r="A448" s="15" t="s">
        <v>599</v>
      </c>
      <c r="B448" s="2" t="s">
        <v>600</v>
      </c>
      <c r="C448" s="3">
        <v>60</v>
      </c>
      <c r="D448" s="2" t="s">
        <v>111</v>
      </c>
      <c r="E448" s="2" t="s">
        <v>8</v>
      </c>
    </row>
    <row r="449" spans="1:5" x14ac:dyDescent="0.25">
      <c r="A449" s="15" t="s">
        <v>601</v>
      </c>
      <c r="B449" s="2" t="s">
        <v>602</v>
      </c>
      <c r="C449" s="3">
        <v>227</v>
      </c>
      <c r="D449" s="2" t="s">
        <v>109</v>
      </c>
      <c r="E449" s="2" t="s">
        <v>8</v>
      </c>
    </row>
    <row r="450" spans="1:5" x14ac:dyDescent="0.25">
      <c r="A450" s="15" t="s">
        <v>601</v>
      </c>
      <c r="B450" s="2" t="s">
        <v>603</v>
      </c>
      <c r="C450" s="3">
        <v>310</v>
      </c>
      <c r="D450" s="2" t="s">
        <v>111</v>
      </c>
      <c r="E450" s="2" t="s">
        <v>8</v>
      </c>
    </row>
    <row r="451" spans="1:5" x14ac:dyDescent="0.25">
      <c r="A451" s="15" t="s">
        <v>604</v>
      </c>
      <c r="B451" s="2" t="s">
        <v>605</v>
      </c>
      <c r="C451" s="3">
        <v>140</v>
      </c>
      <c r="D451" s="2" t="s">
        <v>109</v>
      </c>
      <c r="E451" s="2" t="s">
        <v>8</v>
      </c>
    </row>
    <row r="452" spans="1:5" x14ac:dyDescent="0.25">
      <c r="A452" s="15" t="s">
        <v>606</v>
      </c>
      <c r="B452" s="2" t="s">
        <v>128</v>
      </c>
      <c r="C452" s="3">
        <v>158</v>
      </c>
      <c r="D452" s="2" t="s">
        <v>109</v>
      </c>
      <c r="E452" s="2" t="s">
        <v>8</v>
      </c>
    </row>
    <row r="453" spans="1:5" x14ac:dyDescent="0.25">
      <c r="A453" s="15" t="s">
        <v>606</v>
      </c>
      <c r="B453" s="2" t="s">
        <v>284</v>
      </c>
      <c r="C453" s="3">
        <v>560</v>
      </c>
      <c r="D453" s="2" t="s">
        <v>105</v>
      </c>
      <c r="E453" s="2" t="s">
        <v>8</v>
      </c>
    </row>
    <row r="454" spans="1:5" x14ac:dyDescent="0.25">
      <c r="A454" s="15" t="s">
        <v>606</v>
      </c>
      <c r="B454" s="2" t="s">
        <v>607</v>
      </c>
      <c r="C454" s="3">
        <v>649</v>
      </c>
      <c r="D454" s="2" t="s">
        <v>109</v>
      </c>
      <c r="E454" s="2" t="s">
        <v>8</v>
      </c>
    </row>
    <row r="455" spans="1:5" x14ac:dyDescent="0.25">
      <c r="A455" s="15" t="s">
        <v>608</v>
      </c>
      <c r="B455" s="2" t="s">
        <v>609</v>
      </c>
      <c r="C455" s="3">
        <v>60</v>
      </c>
      <c r="D455" s="2" t="s">
        <v>109</v>
      </c>
      <c r="E455" s="2" t="s">
        <v>8</v>
      </c>
    </row>
    <row r="456" spans="1:5" x14ac:dyDescent="0.25">
      <c r="A456" s="15" t="s">
        <v>610</v>
      </c>
      <c r="B456" s="2" t="s">
        <v>177</v>
      </c>
      <c r="C456" s="3">
        <v>170</v>
      </c>
      <c r="D456" s="2" t="s">
        <v>111</v>
      </c>
      <c r="E456" s="2" t="s">
        <v>8</v>
      </c>
    </row>
    <row r="457" spans="1:5" x14ac:dyDescent="0.25">
      <c r="A457" s="15" t="s">
        <v>610</v>
      </c>
      <c r="B457" s="2" t="s">
        <v>611</v>
      </c>
      <c r="C457" s="3">
        <v>212</v>
      </c>
      <c r="D457" s="2" t="s">
        <v>102</v>
      </c>
      <c r="E457" s="2" t="s">
        <v>8</v>
      </c>
    </row>
    <row r="458" spans="1:5" x14ac:dyDescent="0.25">
      <c r="A458" s="15" t="s">
        <v>610</v>
      </c>
      <c r="B458" s="2" t="s">
        <v>612</v>
      </c>
      <c r="C458" s="3">
        <v>608</v>
      </c>
      <c r="D458" s="2" t="s">
        <v>109</v>
      </c>
      <c r="E458" s="2" t="s">
        <v>8</v>
      </c>
    </row>
    <row r="459" spans="1:5" x14ac:dyDescent="0.25">
      <c r="A459" s="15" t="s">
        <v>610</v>
      </c>
      <c r="B459" s="2" t="s">
        <v>613</v>
      </c>
      <c r="C459" s="3">
        <v>100</v>
      </c>
      <c r="D459" s="2" t="s">
        <v>109</v>
      </c>
      <c r="E459" s="2" t="s">
        <v>8</v>
      </c>
    </row>
    <row r="460" spans="1:5" x14ac:dyDescent="0.25">
      <c r="A460" s="15" t="s">
        <v>614</v>
      </c>
      <c r="B460" s="2" t="s">
        <v>224</v>
      </c>
      <c r="C460" s="3">
        <v>200</v>
      </c>
      <c r="D460" s="2" t="s">
        <v>111</v>
      </c>
      <c r="E460" s="2" t="s">
        <v>8</v>
      </c>
    </row>
    <row r="461" spans="1:5" x14ac:dyDescent="0.25">
      <c r="A461" s="15" t="s">
        <v>615</v>
      </c>
      <c r="B461" s="2" t="s">
        <v>616</v>
      </c>
      <c r="C461" s="3">
        <v>458</v>
      </c>
      <c r="D461" s="2" t="s">
        <v>109</v>
      </c>
      <c r="E461" s="2" t="s">
        <v>8</v>
      </c>
    </row>
    <row r="462" spans="1:5" x14ac:dyDescent="0.25">
      <c r="A462" s="15" t="s">
        <v>617</v>
      </c>
      <c r="B462" s="2" t="s">
        <v>618</v>
      </c>
      <c r="C462" s="3">
        <v>66</v>
      </c>
      <c r="D462" s="2" t="s">
        <v>102</v>
      </c>
      <c r="E462" s="2" t="s">
        <v>8</v>
      </c>
    </row>
    <row r="463" spans="1:5" x14ac:dyDescent="0.25">
      <c r="A463" s="15" t="s">
        <v>617</v>
      </c>
      <c r="B463" s="2" t="s">
        <v>619</v>
      </c>
      <c r="C463" s="3">
        <v>702</v>
      </c>
      <c r="D463" s="2" t="s">
        <v>102</v>
      </c>
      <c r="E463" s="2" t="s">
        <v>8</v>
      </c>
    </row>
    <row r="464" spans="1:5" x14ac:dyDescent="0.25">
      <c r="A464" s="15" t="s">
        <v>620</v>
      </c>
      <c r="B464" s="2" t="s">
        <v>621</v>
      </c>
      <c r="C464" s="3">
        <v>212</v>
      </c>
      <c r="D464" s="2" t="s">
        <v>102</v>
      </c>
      <c r="E464" s="2" t="s">
        <v>8</v>
      </c>
    </row>
    <row r="465" spans="1:5" x14ac:dyDescent="0.25">
      <c r="A465" s="15" t="s">
        <v>620</v>
      </c>
      <c r="B465" s="2" t="s">
        <v>622</v>
      </c>
      <c r="C465" s="3">
        <v>359</v>
      </c>
      <c r="D465" s="2" t="s">
        <v>102</v>
      </c>
      <c r="E465" s="2" t="s">
        <v>8</v>
      </c>
    </row>
    <row r="466" spans="1:5" x14ac:dyDescent="0.25">
      <c r="A466" s="15" t="s">
        <v>620</v>
      </c>
      <c r="B466" s="2" t="s">
        <v>623</v>
      </c>
      <c r="C466" s="3">
        <v>336.25</v>
      </c>
      <c r="D466" s="2" t="s">
        <v>109</v>
      </c>
      <c r="E466" s="2" t="s">
        <v>8</v>
      </c>
    </row>
    <row r="467" spans="1:5" x14ac:dyDescent="0.25">
      <c r="A467" s="15" t="s">
        <v>7</v>
      </c>
      <c r="B467" s="2" t="s">
        <v>624</v>
      </c>
      <c r="C467" s="3">
        <v>3810</v>
      </c>
      <c r="D467" s="2" t="s">
        <v>99</v>
      </c>
      <c r="E467" s="2" t="s">
        <v>0</v>
      </c>
    </row>
    <row r="468" spans="1:5" x14ac:dyDescent="0.25">
      <c r="A468" s="15" t="s">
        <v>7</v>
      </c>
      <c r="B468" s="2" t="s">
        <v>168</v>
      </c>
      <c r="C468" s="3">
        <v>100</v>
      </c>
      <c r="D468" s="2" t="s">
        <v>109</v>
      </c>
      <c r="E468" s="2" t="s">
        <v>0</v>
      </c>
    </row>
    <row r="469" spans="1:5" x14ac:dyDescent="0.25">
      <c r="A469" s="15" t="s">
        <v>625</v>
      </c>
      <c r="B469" s="2" t="s">
        <v>270</v>
      </c>
      <c r="C469" s="3">
        <v>6500</v>
      </c>
      <c r="D469" s="2" t="s">
        <v>106</v>
      </c>
      <c r="E469" s="2" t="s">
        <v>0</v>
      </c>
    </row>
    <row r="470" spans="1:5" x14ac:dyDescent="0.25">
      <c r="A470" s="15" t="s">
        <v>625</v>
      </c>
      <c r="B470" s="2" t="s">
        <v>626</v>
      </c>
      <c r="C470" s="3">
        <v>200</v>
      </c>
      <c r="D470" s="2" t="s">
        <v>104</v>
      </c>
      <c r="E470" s="2" t="s">
        <v>0</v>
      </c>
    </row>
    <row r="471" spans="1:5" x14ac:dyDescent="0.25">
      <c r="A471" s="15" t="s">
        <v>625</v>
      </c>
      <c r="B471" s="2" t="s">
        <v>627</v>
      </c>
      <c r="C471" s="3">
        <v>640</v>
      </c>
      <c r="D471" s="2" t="s">
        <v>111</v>
      </c>
      <c r="E471" s="2" t="s">
        <v>0</v>
      </c>
    </row>
    <row r="472" spans="1:5" x14ac:dyDescent="0.25">
      <c r="A472" s="15" t="s">
        <v>628</v>
      </c>
      <c r="B472" s="2" t="s">
        <v>629</v>
      </c>
      <c r="C472" s="3">
        <v>1038</v>
      </c>
      <c r="D472" s="2" t="s">
        <v>102</v>
      </c>
      <c r="E472" s="2" t="s">
        <v>0</v>
      </c>
    </row>
    <row r="473" spans="1:5" x14ac:dyDescent="0.25">
      <c r="A473" s="15" t="s">
        <v>630</v>
      </c>
      <c r="B473" s="2" t="s">
        <v>224</v>
      </c>
      <c r="C473" s="3">
        <v>180</v>
      </c>
      <c r="D473" s="2" t="s">
        <v>111</v>
      </c>
      <c r="E473" s="2" t="s">
        <v>0</v>
      </c>
    </row>
    <row r="474" spans="1:5" x14ac:dyDescent="0.25">
      <c r="A474" s="15" t="s">
        <v>5</v>
      </c>
      <c r="B474" s="2" t="s">
        <v>631</v>
      </c>
      <c r="C474" s="3">
        <v>420</v>
      </c>
      <c r="D474" s="2" t="s">
        <v>109</v>
      </c>
      <c r="E474" s="2" t="s">
        <v>0</v>
      </c>
    </row>
    <row r="475" spans="1:5" x14ac:dyDescent="0.25">
      <c r="A475" s="15" t="s">
        <v>5</v>
      </c>
      <c r="B475" s="2" t="s">
        <v>632</v>
      </c>
      <c r="C475" s="3">
        <v>165</v>
      </c>
      <c r="D475" s="2" t="s">
        <v>109</v>
      </c>
      <c r="E475" s="2" t="s">
        <v>0</v>
      </c>
    </row>
    <row r="476" spans="1:5" x14ac:dyDescent="0.25">
      <c r="A476" s="15" t="s">
        <v>5</v>
      </c>
      <c r="B476" s="2" t="s">
        <v>618</v>
      </c>
      <c r="C476" s="3">
        <v>150</v>
      </c>
      <c r="D476" s="2" t="s">
        <v>102</v>
      </c>
      <c r="E476" s="2" t="s">
        <v>0</v>
      </c>
    </row>
    <row r="477" spans="1:5" x14ac:dyDescent="0.25">
      <c r="A477" s="15" t="s">
        <v>5</v>
      </c>
      <c r="B477" s="2" t="s">
        <v>633</v>
      </c>
      <c r="C477" s="3">
        <v>19200</v>
      </c>
      <c r="D477" s="2" t="s">
        <v>103</v>
      </c>
      <c r="E477" s="2" t="s">
        <v>0</v>
      </c>
    </row>
    <row r="478" spans="1:5" x14ac:dyDescent="0.25">
      <c r="A478" s="15" t="s">
        <v>3</v>
      </c>
      <c r="B478" s="2" t="s">
        <v>128</v>
      </c>
      <c r="C478" s="3">
        <v>130</v>
      </c>
      <c r="D478" s="2" t="s">
        <v>109</v>
      </c>
      <c r="E478" s="2" t="s">
        <v>0</v>
      </c>
    </row>
    <row r="479" spans="1:5" x14ac:dyDescent="0.25">
      <c r="A479" s="15" t="s">
        <v>3</v>
      </c>
      <c r="B479" s="2" t="s">
        <v>634</v>
      </c>
      <c r="C479" s="3">
        <v>370</v>
      </c>
      <c r="D479" s="2" t="s">
        <v>102</v>
      </c>
      <c r="E479" s="2" t="s">
        <v>0</v>
      </c>
    </row>
    <row r="480" spans="1:5" x14ac:dyDescent="0.25">
      <c r="A480" s="15" t="s">
        <v>635</v>
      </c>
      <c r="B480" s="2" t="s">
        <v>636</v>
      </c>
      <c r="C480" s="3">
        <v>140</v>
      </c>
      <c r="D480" s="2" t="s">
        <v>102</v>
      </c>
      <c r="E480" s="2" t="s">
        <v>0</v>
      </c>
    </row>
    <row r="481" spans="1:5" x14ac:dyDescent="0.25">
      <c r="A481" s="15" t="s">
        <v>635</v>
      </c>
      <c r="B481" s="2" t="s">
        <v>177</v>
      </c>
      <c r="C481" s="3">
        <v>275</v>
      </c>
      <c r="D481" s="2" t="s">
        <v>111</v>
      </c>
      <c r="E481" s="2" t="s">
        <v>0</v>
      </c>
    </row>
    <row r="482" spans="1:5" x14ac:dyDescent="0.25">
      <c r="A482" s="15" t="s">
        <v>635</v>
      </c>
      <c r="B482" s="2" t="s">
        <v>637</v>
      </c>
      <c r="C482" s="3">
        <v>40</v>
      </c>
      <c r="D482" s="2" t="s">
        <v>109</v>
      </c>
      <c r="E482" s="2" t="s">
        <v>0</v>
      </c>
    </row>
    <row r="483" spans="1:5" x14ac:dyDescent="0.25">
      <c r="A483" s="15" t="s">
        <v>638</v>
      </c>
      <c r="B483" s="2" t="s">
        <v>639</v>
      </c>
      <c r="C483" s="3">
        <v>1314</v>
      </c>
      <c r="D483" s="2" t="s">
        <v>102</v>
      </c>
      <c r="E483" s="2" t="s">
        <v>0</v>
      </c>
    </row>
    <row r="484" spans="1:5" x14ac:dyDescent="0.25">
      <c r="A484" s="15" t="s">
        <v>638</v>
      </c>
      <c r="B484" s="2" t="s">
        <v>640</v>
      </c>
      <c r="C484" s="3">
        <v>280</v>
      </c>
      <c r="D484" s="2" t="s">
        <v>111</v>
      </c>
      <c r="E484" s="2" t="s">
        <v>0</v>
      </c>
    </row>
    <row r="485" spans="1:5" x14ac:dyDescent="0.25">
      <c r="A485" s="15" t="s">
        <v>641</v>
      </c>
      <c r="B485" s="2" t="s">
        <v>642</v>
      </c>
      <c r="C485" s="3">
        <v>1100</v>
      </c>
      <c r="D485" s="2" t="s">
        <v>109</v>
      </c>
      <c r="E485" s="2" t="s">
        <v>0</v>
      </c>
    </row>
    <row r="486" spans="1:5" x14ac:dyDescent="0.25">
      <c r="A486" s="15" t="s">
        <v>643</v>
      </c>
      <c r="B486" s="2" t="s">
        <v>264</v>
      </c>
      <c r="C486" s="3">
        <v>219</v>
      </c>
      <c r="D486" s="2" t="s">
        <v>102</v>
      </c>
      <c r="E486" s="2" t="s">
        <v>0</v>
      </c>
    </row>
    <row r="487" spans="1:5" x14ac:dyDescent="0.25">
      <c r="A487" s="15" t="s">
        <v>643</v>
      </c>
      <c r="B487" s="2" t="s">
        <v>600</v>
      </c>
      <c r="C487" s="3">
        <v>30</v>
      </c>
      <c r="D487" s="2" t="s">
        <v>111</v>
      </c>
      <c r="E487" s="2" t="s">
        <v>0</v>
      </c>
    </row>
    <row r="488" spans="1:5" x14ac:dyDescent="0.25">
      <c r="A488" s="15" t="s">
        <v>643</v>
      </c>
      <c r="B488" s="2" t="s">
        <v>644</v>
      </c>
      <c r="C488" s="3">
        <v>35</v>
      </c>
      <c r="D488" s="2" t="s">
        <v>109</v>
      </c>
      <c r="E488" s="2" t="s">
        <v>0</v>
      </c>
    </row>
    <row r="489" spans="1:5" x14ac:dyDescent="0.25">
      <c r="A489" s="15" t="s">
        <v>645</v>
      </c>
      <c r="B489" s="2" t="s">
        <v>646</v>
      </c>
      <c r="C489" s="3">
        <v>400</v>
      </c>
      <c r="D489" s="2" t="s">
        <v>109</v>
      </c>
      <c r="E489" s="2" t="s">
        <v>0</v>
      </c>
    </row>
    <row r="490" spans="1:5" x14ac:dyDescent="0.25">
      <c r="A490" s="15" t="s">
        <v>647</v>
      </c>
      <c r="B490" s="2" t="s">
        <v>637</v>
      </c>
      <c r="C490" s="3">
        <v>50</v>
      </c>
      <c r="D490" s="2" t="s">
        <v>109</v>
      </c>
      <c r="E490" s="2" t="s">
        <v>0</v>
      </c>
    </row>
    <row r="491" spans="1:5" x14ac:dyDescent="0.25">
      <c r="A491" s="15" t="s">
        <v>647</v>
      </c>
      <c r="B491" s="2" t="s">
        <v>648</v>
      </c>
      <c r="C491" s="3">
        <v>50</v>
      </c>
      <c r="D491" s="2" t="s">
        <v>102</v>
      </c>
      <c r="E491" s="2" t="s">
        <v>0</v>
      </c>
    </row>
    <row r="492" spans="1:5" x14ac:dyDescent="0.25">
      <c r="A492" s="15" t="s">
        <v>647</v>
      </c>
      <c r="B492" s="2" t="s">
        <v>284</v>
      </c>
      <c r="C492" s="3">
        <v>80</v>
      </c>
      <c r="D492" s="2" t="s">
        <v>105</v>
      </c>
      <c r="E492" s="2" t="s">
        <v>0</v>
      </c>
    </row>
    <row r="493" spans="1:5" x14ac:dyDescent="0.25">
      <c r="A493" s="15" t="s">
        <v>649</v>
      </c>
      <c r="B493" s="2" t="s">
        <v>650</v>
      </c>
      <c r="C493" s="3">
        <v>40</v>
      </c>
      <c r="D493" s="2" t="s">
        <v>102</v>
      </c>
      <c r="E493" s="2" t="s">
        <v>0</v>
      </c>
    </row>
    <row r="494" spans="1:5" x14ac:dyDescent="0.25">
      <c r="A494" s="15" t="s">
        <v>649</v>
      </c>
      <c r="B494" s="2" t="s">
        <v>651</v>
      </c>
      <c r="C494" s="3">
        <v>35</v>
      </c>
      <c r="D494" s="2" t="s">
        <v>102</v>
      </c>
      <c r="E494" s="2" t="s">
        <v>0</v>
      </c>
    </row>
    <row r="495" spans="1:5" x14ac:dyDescent="0.25">
      <c r="A495" s="15" t="s">
        <v>649</v>
      </c>
      <c r="B495" s="2" t="s">
        <v>652</v>
      </c>
      <c r="C495" s="3">
        <v>338</v>
      </c>
      <c r="D495" s="2" t="s">
        <v>102</v>
      </c>
      <c r="E495" s="2" t="s">
        <v>0</v>
      </c>
    </row>
    <row r="496" spans="1:5" x14ac:dyDescent="0.25">
      <c r="A496" s="16" t="s">
        <v>649</v>
      </c>
      <c r="B496" s="6" t="s">
        <v>102</v>
      </c>
      <c r="C496" s="7">
        <v>0</v>
      </c>
      <c r="D496" s="6" t="s">
        <v>102</v>
      </c>
      <c r="E496" s="6" t="s">
        <v>0</v>
      </c>
    </row>
    <row r="497" spans="1:5" x14ac:dyDescent="0.25">
      <c r="A497" s="15" t="s">
        <v>649</v>
      </c>
      <c r="B497" s="2" t="s">
        <v>653</v>
      </c>
      <c r="C497" s="3">
        <v>904</v>
      </c>
      <c r="D497" s="2" t="s">
        <v>109</v>
      </c>
      <c r="E497" s="2" t="s">
        <v>0</v>
      </c>
    </row>
    <row r="498" spans="1:5" x14ac:dyDescent="0.25">
      <c r="A498" s="15" t="s">
        <v>654</v>
      </c>
      <c r="B498" s="2" t="s">
        <v>655</v>
      </c>
      <c r="C498" s="3">
        <v>525</v>
      </c>
      <c r="D498" s="2" t="s">
        <v>109</v>
      </c>
      <c r="E498" s="2" t="s">
        <v>0</v>
      </c>
    </row>
    <row r="499" spans="1:5" x14ac:dyDescent="0.25">
      <c r="A499" s="15" t="s">
        <v>654</v>
      </c>
      <c r="B499" s="2" t="s">
        <v>656</v>
      </c>
      <c r="C499" s="3">
        <v>1500</v>
      </c>
      <c r="D499" s="2" t="s">
        <v>109</v>
      </c>
      <c r="E499" s="2" t="s">
        <v>0</v>
      </c>
    </row>
    <row r="500" spans="1:5" x14ac:dyDescent="0.25">
      <c r="A500" s="15" t="s">
        <v>654</v>
      </c>
      <c r="B500" s="2" t="s">
        <v>436</v>
      </c>
      <c r="C500" s="3">
        <v>38</v>
      </c>
      <c r="D500" s="2" t="s">
        <v>107</v>
      </c>
      <c r="E500" s="2" t="s">
        <v>0</v>
      </c>
    </row>
    <row r="501" spans="1:5" x14ac:dyDescent="0.25">
      <c r="A501" s="15" t="s">
        <v>654</v>
      </c>
      <c r="B501" s="2" t="s">
        <v>657</v>
      </c>
      <c r="C501" s="3">
        <v>270</v>
      </c>
      <c r="D501" s="2" t="s">
        <v>111</v>
      </c>
      <c r="E501" s="2" t="s">
        <v>0</v>
      </c>
    </row>
    <row r="502" spans="1:5" x14ac:dyDescent="0.25">
      <c r="A502" s="15" t="s">
        <v>658</v>
      </c>
      <c r="B502" s="2" t="s">
        <v>659</v>
      </c>
      <c r="C502" s="3">
        <v>2048</v>
      </c>
      <c r="D502" s="2" t="s">
        <v>107</v>
      </c>
      <c r="E502" s="2" t="s">
        <v>0</v>
      </c>
    </row>
    <row r="503" spans="1:5" x14ac:dyDescent="0.25">
      <c r="A503" s="15" t="s">
        <v>658</v>
      </c>
      <c r="B503" s="2" t="s">
        <v>350</v>
      </c>
      <c r="C503" s="3">
        <v>300</v>
      </c>
      <c r="D503" s="2" t="s">
        <v>109</v>
      </c>
      <c r="E503" s="2" t="s">
        <v>0</v>
      </c>
    </row>
    <row r="504" spans="1:5" x14ac:dyDescent="0.25">
      <c r="A504" s="15" t="s">
        <v>658</v>
      </c>
      <c r="B504" s="2" t="s">
        <v>192</v>
      </c>
      <c r="C504" s="3">
        <v>370</v>
      </c>
      <c r="D504" s="2" t="s">
        <v>109</v>
      </c>
      <c r="E504" s="2" t="s">
        <v>0</v>
      </c>
    </row>
    <row r="505" spans="1:5" x14ac:dyDescent="0.25">
      <c r="A505" s="15" t="s">
        <v>660</v>
      </c>
      <c r="B505" s="2" t="s">
        <v>661</v>
      </c>
      <c r="C505" s="3">
        <v>40</v>
      </c>
      <c r="D505" s="2" t="s">
        <v>109</v>
      </c>
      <c r="E505" s="2" t="s">
        <v>0</v>
      </c>
    </row>
    <row r="506" spans="1:5" x14ac:dyDescent="0.25">
      <c r="A506" s="15" t="s">
        <v>660</v>
      </c>
      <c r="B506" s="2" t="s">
        <v>618</v>
      </c>
      <c r="C506" s="3">
        <v>120</v>
      </c>
      <c r="D506" s="2" t="s">
        <v>102</v>
      </c>
      <c r="E506" s="2" t="s">
        <v>0</v>
      </c>
    </row>
    <row r="507" spans="1:5" x14ac:dyDescent="0.25">
      <c r="A507" s="15" t="s">
        <v>662</v>
      </c>
      <c r="B507" s="2" t="s">
        <v>663</v>
      </c>
      <c r="C507" s="3">
        <v>650</v>
      </c>
      <c r="D507" s="2" t="s">
        <v>109</v>
      </c>
      <c r="E507" s="2" t="s">
        <v>0</v>
      </c>
    </row>
    <row r="508" spans="1:5" x14ac:dyDescent="0.25">
      <c r="A508" s="15" t="s">
        <v>662</v>
      </c>
      <c r="B508" s="2" t="s">
        <v>664</v>
      </c>
      <c r="C508" s="3">
        <v>212</v>
      </c>
      <c r="D508" s="2" t="s">
        <v>109</v>
      </c>
      <c r="E508" s="2" t="s">
        <v>0</v>
      </c>
    </row>
    <row r="509" spans="1:5" x14ac:dyDescent="0.25">
      <c r="A509" s="15" t="s">
        <v>662</v>
      </c>
      <c r="B509" s="2" t="s">
        <v>665</v>
      </c>
      <c r="C509" s="3">
        <v>155</v>
      </c>
      <c r="D509" s="2" t="s">
        <v>111</v>
      </c>
      <c r="E509" s="2" t="s">
        <v>0</v>
      </c>
    </row>
    <row r="510" spans="1:5" x14ac:dyDescent="0.25">
      <c r="A510" s="15" t="s">
        <v>666</v>
      </c>
      <c r="B510" s="2" t="s">
        <v>361</v>
      </c>
      <c r="C510" s="3">
        <v>20</v>
      </c>
      <c r="D510" s="2" t="s">
        <v>109</v>
      </c>
      <c r="E510" s="2" t="s">
        <v>0</v>
      </c>
    </row>
    <row r="511" spans="1:5" x14ac:dyDescent="0.25">
      <c r="A511" s="15" t="s">
        <v>666</v>
      </c>
      <c r="B511" s="2" t="s">
        <v>505</v>
      </c>
      <c r="C511" s="3">
        <v>220</v>
      </c>
      <c r="D511" s="2" t="s">
        <v>101</v>
      </c>
      <c r="E511" s="2" t="s">
        <v>0</v>
      </c>
    </row>
    <row r="512" spans="1:5" x14ac:dyDescent="0.25">
      <c r="A512" s="15" t="s">
        <v>666</v>
      </c>
      <c r="B512" s="2" t="s">
        <v>667</v>
      </c>
      <c r="C512" s="3">
        <v>40</v>
      </c>
      <c r="D512" s="2" t="s">
        <v>102</v>
      </c>
      <c r="E512" s="2" t="s">
        <v>0</v>
      </c>
    </row>
    <row r="513" spans="1:5" x14ac:dyDescent="0.25">
      <c r="A513" s="15" t="s">
        <v>666</v>
      </c>
      <c r="B513" s="2" t="s">
        <v>237</v>
      </c>
      <c r="C513" s="3">
        <v>18</v>
      </c>
      <c r="D513" s="2" t="s">
        <v>109</v>
      </c>
      <c r="E513" s="2" t="s">
        <v>0</v>
      </c>
    </row>
    <row r="514" spans="1:5" x14ac:dyDescent="0.25">
      <c r="A514" s="15" t="s">
        <v>668</v>
      </c>
      <c r="B514" s="2" t="s">
        <v>669</v>
      </c>
      <c r="C514" s="3">
        <v>347</v>
      </c>
      <c r="D514" s="2" t="s">
        <v>109</v>
      </c>
      <c r="E514" s="2" t="s">
        <v>0</v>
      </c>
    </row>
    <row r="515" spans="1:5" x14ac:dyDescent="0.25">
      <c r="A515" s="15" t="s">
        <v>668</v>
      </c>
      <c r="B515" s="2" t="s">
        <v>284</v>
      </c>
      <c r="C515" s="3">
        <v>160</v>
      </c>
      <c r="D515" s="2" t="s">
        <v>105</v>
      </c>
      <c r="E515" s="2" t="s">
        <v>0</v>
      </c>
    </row>
    <row r="516" spans="1:5" x14ac:dyDescent="0.25">
      <c r="A516" s="15" t="s">
        <v>670</v>
      </c>
      <c r="B516" s="2" t="s">
        <v>195</v>
      </c>
      <c r="C516" s="3">
        <v>2122</v>
      </c>
      <c r="D516" s="2" t="s">
        <v>107</v>
      </c>
      <c r="E516" s="2" t="s">
        <v>0</v>
      </c>
    </row>
    <row r="517" spans="1:5" x14ac:dyDescent="0.25">
      <c r="A517" s="16" t="s">
        <v>670</v>
      </c>
      <c r="B517" s="6" t="s">
        <v>671</v>
      </c>
      <c r="C517" s="7">
        <v>0</v>
      </c>
      <c r="D517" s="6" t="s">
        <v>109</v>
      </c>
      <c r="E517" s="6" t="s">
        <v>0</v>
      </c>
    </row>
    <row r="518" spans="1:5" x14ac:dyDescent="0.25">
      <c r="A518" s="15" t="s">
        <v>59</v>
      </c>
      <c r="B518" s="2" t="s">
        <v>672</v>
      </c>
      <c r="C518" s="3">
        <v>2640</v>
      </c>
      <c r="D518" s="2" t="s">
        <v>99</v>
      </c>
      <c r="E518" s="2" t="s">
        <v>80</v>
      </c>
    </row>
    <row r="519" spans="1:5" x14ac:dyDescent="0.25">
      <c r="A519" s="15" t="s">
        <v>59</v>
      </c>
      <c r="B519" s="2" t="s">
        <v>448</v>
      </c>
      <c r="C519" s="3">
        <v>1166</v>
      </c>
      <c r="D519" s="2" t="s">
        <v>100</v>
      </c>
      <c r="E519" s="2" t="s">
        <v>80</v>
      </c>
    </row>
    <row r="520" spans="1:5" x14ac:dyDescent="0.25">
      <c r="A520" s="15" t="s">
        <v>61</v>
      </c>
      <c r="B520" s="2" t="s">
        <v>673</v>
      </c>
      <c r="C520" s="3">
        <v>938</v>
      </c>
      <c r="D520" s="2" t="s">
        <v>107</v>
      </c>
      <c r="E520" s="2" t="s">
        <v>80</v>
      </c>
    </row>
    <row r="521" spans="1:5" x14ac:dyDescent="0.25">
      <c r="A521" s="15" t="s">
        <v>61</v>
      </c>
      <c r="B521" s="2" t="s">
        <v>674</v>
      </c>
      <c r="C521" s="3">
        <v>19200</v>
      </c>
      <c r="D521" s="2" t="s">
        <v>103</v>
      </c>
      <c r="E521" s="2" t="s">
        <v>80</v>
      </c>
    </row>
    <row r="522" spans="1:5" x14ac:dyDescent="0.25">
      <c r="A522" s="15" t="s">
        <v>675</v>
      </c>
      <c r="B522" s="2" t="s">
        <v>676</v>
      </c>
      <c r="C522" s="3">
        <v>160</v>
      </c>
      <c r="D522" s="2" t="s">
        <v>109</v>
      </c>
      <c r="E522" s="2" t="s">
        <v>80</v>
      </c>
    </row>
    <row r="523" spans="1:5" x14ac:dyDescent="0.25">
      <c r="A523" s="15" t="s">
        <v>63</v>
      </c>
      <c r="B523" s="2" t="s">
        <v>677</v>
      </c>
      <c r="C523" s="3">
        <v>165</v>
      </c>
      <c r="D523" s="2" t="s">
        <v>111</v>
      </c>
      <c r="E523" s="2" t="s">
        <v>80</v>
      </c>
    </row>
    <row r="524" spans="1:5" x14ac:dyDescent="0.25">
      <c r="A524" s="15" t="s">
        <v>63</v>
      </c>
      <c r="B524" s="2" t="s">
        <v>678</v>
      </c>
      <c r="C524" s="3">
        <v>70</v>
      </c>
      <c r="D524" s="2" t="s">
        <v>111</v>
      </c>
      <c r="E524" s="2" t="s">
        <v>80</v>
      </c>
    </row>
    <row r="525" spans="1:5" x14ac:dyDescent="0.25">
      <c r="A525" s="15" t="s">
        <v>63</v>
      </c>
      <c r="B525" s="2" t="s">
        <v>181</v>
      </c>
      <c r="C525" s="3">
        <v>120</v>
      </c>
      <c r="D525" s="2" t="s">
        <v>111</v>
      </c>
      <c r="E525" s="2" t="s">
        <v>80</v>
      </c>
    </row>
    <row r="526" spans="1:5" x14ac:dyDescent="0.25">
      <c r="A526" s="15" t="s">
        <v>63</v>
      </c>
      <c r="B526" s="2" t="s">
        <v>584</v>
      </c>
      <c r="C526" s="3">
        <v>42</v>
      </c>
      <c r="D526" s="2" t="s">
        <v>101</v>
      </c>
      <c r="E526" s="2" t="s">
        <v>80</v>
      </c>
    </row>
    <row r="527" spans="1:5" x14ac:dyDescent="0.25">
      <c r="A527" s="15" t="s">
        <v>679</v>
      </c>
      <c r="B527" s="2" t="s">
        <v>680</v>
      </c>
      <c r="C527" s="3">
        <v>160</v>
      </c>
      <c r="D527" s="2" t="s">
        <v>111</v>
      </c>
      <c r="E527" s="2" t="s">
        <v>80</v>
      </c>
    </row>
    <row r="528" spans="1:5" x14ac:dyDescent="0.25">
      <c r="A528" s="15" t="s">
        <v>681</v>
      </c>
      <c r="B528" s="2" t="s">
        <v>682</v>
      </c>
      <c r="C528" s="3">
        <v>897</v>
      </c>
      <c r="D528" s="2" t="s">
        <v>109</v>
      </c>
      <c r="E528" s="2" t="s">
        <v>80</v>
      </c>
    </row>
    <row r="529" spans="1:5" x14ac:dyDescent="0.25">
      <c r="A529" s="15" t="s">
        <v>681</v>
      </c>
      <c r="B529" s="2" t="s">
        <v>683</v>
      </c>
      <c r="C529" s="3">
        <v>25</v>
      </c>
      <c r="D529" s="2" t="s">
        <v>111</v>
      </c>
      <c r="E529" s="2" t="s">
        <v>80</v>
      </c>
    </row>
    <row r="530" spans="1:5" x14ac:dyDescent="0.25">
      <c r="A530" s="15" t="s">
        <v>681</v>
      </c>
      <c r="B530" s="2" t="s">
        <v>684</v>
      </c>
      <c r="C530" s="3">
        <v>500</v>
      </c>
      <c r="D530" s="2" t="s">
        <v>102</v>
      </c>
      <c r="E530" s="2" t="s">
        <v>80</v>
      </c>
    </row>
    <row r="531" spans="1:5" x14ac:dyDescent="0.25">
      <c r="A531" s="15" t="s">
        <v>681</v>
      </c>
      <c r="B531" s="2" t="s">
        <v>685</v>
      </c>
      <c r="C531" s="3">
        <v>75</v>
      </c>
      <c r="D531" s="2" t="s">
        <v>102</v>
      </c>
      <c r="E531" s="2" t="s">
        <v>80</v>
      </c>
    </row>
    <row r="532" spans="1:5" x14ac:dyDescent="0.25">
      <c r="A532" s="15" t="s">
        <v>681</v>
      </c>
      <c r="B532" s="2" t="s">
        <v>686</v>
      </c>
      <c r="C532" s="3">
        <v>5000</v>
      </c>
      <c r="D532" s="2" t="s">
        <v>106</v>
      </c>
      <c r="E532" s="2" t="s">
        <v>80</v>
      </c>
    </row>
    <row r="533" spans="1:5" x14ac:dyDescent="0.25">
      <c r="A533" s="15" t="s">
        <v>687</v>
      </c>
      <c r="B533" s="2" t="s">
        <v>688</v>
      </c>
      <c r="C533" s="3">
        <v>50</v>
      </c>
      <c r="D533" s="2" t="s">
        <v>102</v>
      </c>
      <c r="E533" s="2" t="s">
        <v>80</v>
      </c>
    </row>
    <row r="534" spans="1:5" x14ac:dyDescent="0.25">
      <c r="A534" s="15" t="s">
        <v>687</v>
      </c>
      <c r="B534" s="2" t="s">
        <v>689</v>
      </c>
      <c r="C534" s="3">
        <v>215</v>
      </c>
      <c r="D534" s="2" t="s">
        <v>111</v>
      </c>
      <c r="E534" s="2" t="s">
        <v>80</v>
      </c>
    </row>
    <row r="535" spans="1:5" x14ac:dyDescent="0.25">
      <c r="A535" s="16" t="s">
        <v>687</v>
      </c>
      <c r="B535" s="6" t="s">
        <v>671</v>
      </c>
      <c r="C535" s="7">
        <v>0</v>
      </c>
      <c r="D535" s="6" t="s">
        <v>109</v>
      </c>
      <c r="E535" s="6" t="s">
        <v>80</v>
      </c>
    </row>
    <row r="536" spans="1:5" x14ac:dyDescent="0.25">
      <c r="A536" s="16" t="s">
        <v>687</v>
      </c>
      <c r="B536" s="6" t="s">
        <v>109</v>
      </c>
      <c r="C536" s="7">
        <v>0</v>
      </c>
      <c r="D536" s="6" t="s">
        <v>109</v>
      </c>
      <c r="E536" s="6" t="s">
        <v>80</v>
      </c>
    </row>
    <row r="537" spans="1:5" x14ac:dyDescent="0.25">
      <c r="A537" s="15" t="s">
        <v>687</v>
      </c>
      <c r="B537" s="2" t="s">
        <v>690</v>
      </c>
      <c r="C537" s="3">
        <v>650</v>
      </c>
      <c r="D537" s="2" t="s">
        <v>109</v>
      </c>
      <c r="E537" s="2" t="s">
        <v>80</v>
      </c>
    </row>
    <row r="538" spans="1:5" x14ac:dyDescent="0.25">
      <c r="A538" s="15" t="s">
        <v>691</v>
      </c>
      <c r="B538" s="2" t="s">
        <v>692</v>
      </c>
      <c r="C538" s="3">
        <v>357</v>
      </c>
      <c r="D538" s="2" t="s">
        <v>102</v>
      </c>
      <c r="E538" s="2" t="s">
        <v>80</v>
      </c>
    </row>
    <row r="539" spans="1:5" x14ac:dyDescent="0.25">
      <c r="A539" s="15" t="s">
        <v>691</v>
      </c>
      <c r="B539" s="2" t="s">
        <v>693</v>
      </c>
      <c r="C539" s="3">
        <v>130</v>
      </c>
      <c r="D539" s="2" t="s">
        <v>111</v>
      </c>
      <c r="E539" s="2" t="s">
        <v>80</v>
      </c>
    </row>
    <row r="540" spans="1:5" x14ac:dyDescent="0.25">
      <c r="A540" s="15" t="s">
        <v>694</v>
      </c>
      <c r="B540" s="2" t="s">
        <v>677</v>
      </c>
      <c r="C540" s="3">
        <v>140</v>
      </c>
      <c r="D540" s="2" t="s">
        <v>111</v>
      </c>
      <c r="E540" s="2" t="s">
        <v>80</v>
      </c>
    </row>
    <row r="541" spans="1:5" x14ac:dyDescent="0.25">
      <c r="A541" s="15" t="s">
        <v>694</v>
      </c>
      <c r="B541" s="2" t="s">
        <v>222</v>
      </c>
      <c r="C541" s="3">
        <v>88</v>
      </c>
      <c r="D541" s="2" t="s">
        <v>101</v>
      </c>
      <c r="E541" s="2" t="s">
        <v>80</v>
      </c>
    </row>
    <row r="542" spans="1:5" x14ac:dyDescent="0.25">
      <c r="A542" s="15" t="s">
        <v>694</v>
      </c>
      <c r="B542" s="2" t="s">
        <v>105</v>
      </c>
      <c r="C542" s="3">
        <v>120</v>
      </c>
      <c r="D542" s="2" t="s">
        <v>105</v>
      </c>
      <c r="E542" s="2" t="s">
        <v>80</v>
      </c>
    </row>
    <row r="543" spans="1:5" x14ac:dyDescent="0.25">
      <c r="A543" s="15" t="s">
        <v>695</v>
      </c>
      <c r="B543" s="2" t="s">
        <v>677</v>
      </c>
      <c r="C543" s="3">
        <v>180</v>
      </c>
      <c r="D543" s="2" t="s">
        <v>111</v>
      </c>
      <c r="E543" s="2" t="s">
        <v>80</v>
      </c>
    </row>
    <row r="544" spans="1:5" x14ac:dyDescent="0.25">
      <c r="A544" s="15" t="s">
        <v>696</v>
      </c>
      <c r="B544" s="2" t="s">
        <v>697</v>
      </c>
      <c r="C544" s="3">
        <v>235</v>
      </c>
      <c r="D544" s="2" t="s">
        <v>102</v>
      </c>
      <c r="E544" s="2" t="s">
        <v>80</v>
      </c>
    </row>
    <row r="545" spans="1:5" x14ac:dyDescent="0.25">
      <c r="A545" s="15" t="s">
        <v>698</v>
      </c>
      <c r="B545" s="2" t="s">
        <v>699</v>
      </c>
      <c r="C545" s="3">
        <v>130</v>
      </c>
      <c r="D545" s="2" t="s">
        <v>111</v>
      </c>
      <c r="E545" s="2" t="s">
        <v>80</v>
      </c>
    </row>
    <row r="546" spans="1:5" x14ac:dyDescent="0.25">
      <c r="A546" s="15" t="s">
        <v>700</v>
      </c>
      <c r="B546" s="2" t="s">
        <v>701</v>
      </c>
      <c r="C546" s="3">
        <v>823</v>
      </c>
      <c r="D546" s="2" t="s">
        <v>102</v>
      </c>
      <c r="E546" s="2" t="s">
        <v>80</v>
      </c>
    </row>
    <row r="547" spans="1:5" x14ac:dyDescent="0.25">
      <c r="A547" s="15" t="s">
        <v>700</v>
      </c>
      <c r="B547" s="2" t="s">
        <v>702</v>
      </c>
      <c r="C547" s="3">
        <v>800</v>
      </c>
      <c r="D547" s="2" t="s">
        <v>109</v>
      </c>
      <c r="E547" s="2" t="s">
        <v>80</v>
      </c>
    </row>
    <row r="548" spans="1:5" x14ac:dyDescent="0.25">
      <c r="A548" s="15" t="s">
        <v>700</v>
      </c>
      <c r="B548" s="2" t="s">
        <v>703</v>
      </c>
      <c r="C548" s="3">
        <v>100</v>
      </c>
      <c r="D548" s="2" t="s">
        <v>109</v>
      </c>
      <c r="E548" s="2" t="s">
        <v>80</v>
      </c>
    </row>
    <row r="549" spans="1:5" x14ac:dyDescent="0.25">
      <c r="A549" s="15" t="s">
        <v>704</v>
      </c>
      <c r="B549" s="2" t="s">
        <v>195</v>
      </c>
      <c r="C549" s="3">
        <v>759</v>
      </c>
      <c r="D549" s="2" t="s">
        <v>107</v>
      </c>
      <c r="E549" s="2" t="s">
        <v>80</v>
      </c>
    </row>
    <row r="550" spans="1:5" x14ac:dyDescent="0.25">
      <c r="A550" s="15" t="s">
        <v>704</v>
      </c>
      <c r="B550" s="2" t="s">
        <v>249</v>
      </c>
      <c r="C550" s="3">
        <v>522</v>
      </c>
      <c r="D550" s="2" t="s">
        <v>102</v>
      </c>
      <c r="E550" s="2" t="s">
        <v>80</v>
      </c>
    </row>
    <row r="551" spans="1:5" x14ac:dyDescent="0.25">
      <c r="A551" s="15" t="s">
        <v>705</v>
      </c>
      <c r="B551" s="2" t="s">
        <v>699</v>
      </c>
      <c r="C551" s="3">
        <v>130</v>
      </c>
      <c r="D551" s="2" t="s">
        <v>111</v>
      </c>
      <c r="E551" s="2" t="s">
        <v>80</v>
      </c>
    </row>
    <row r="552" spans="1:5" x14ac:dyDescent="0.25">
      <c r="A552" s="15" t="s">
        <v>705</v>
      </c>
      <c r="B552" s="2" t="s">
        <v>237</v>
      </c>
      <c r="C552" s="3">
        <v>18</v>
      </c>
      <c r="D552" s="2" t="s">
        <v>109</v>
      </c>
      <c r="E552" s="2" t="s">
        <v>80</v>
      </c>
    </row>
    <row r="553" spans="1:5" x14ac:dyDescent="0.25">
      <c r="A553" s="15" t="s">
        <v>706</v>
      </c>
      <c r="B553" s="2" t="s">
        <v>677</v>
      </c>
      <c r="C553" s="3">
        <v>90</v>
      </c>
      <c r="D553" s="2" t="s">
        <v>111</v>
      </c>
      <c r="E553" s="2" t="s">
        <v>80</v>
      </c>
    </row>
    <row r="554" spans="1:5" x14ac:dyDescent="0.25">
      <c r="A554" s="15" t="s">
        <v>707</v>
      </c>
      <c r="B554" s="2" t="s">
        <v>708</v>
      </c>
      <c r="C554" s="3">
        <v>547</v>
      </c>
      <c r="D554" s="2" t="s">
        <v>102</v>
      </c>
      <c r="E554" s="2" t="s">
        <v>80</v>
      </c>
    </row>
    <row r="555" spans="1:5" x14ac:dyDescent="0.25">
      <c r="A555" s="15" t="s">
        <v>707</v>
      </c>
      <c r="B555" s="2" t="s">
        <v>128</v>
      </c>
      <c r="C555" s="3">
        <v>85</v>
      </c>
      <c r="D555" s="2" t="s">
        <v>109</v>
      </c>
      <c r="E555" s="2" t="s">
        <v>80</v>
      </c>
    </row>
    <row r="556" spans="1:5" x14ac:dyDescent="0.25">
      <c r="A556" s="15" t="s">
        <v>71</v>
      </c>
      <c r="B556" s="2" t="s">
        <v>709</v>
      </c>
      <c r="C556" s="3">
        <v>2600</v>
      </c>
      <c r="D556" s="2" t="s">
        <v>99</v>
      </c>
      <c r="E556" s="2" t="s">
        <v>81</v>
      </c>
    </row>
    <row r="557" spans="1:5" x14ac:dyDescent="0.25">
      <c r="A557" s="15" t="s">
        <v>71</v>
      </c>
      <c r="B557" s="2" t="s">
        <v>710</v>
      </c>
      <c r="C557" s="3">
        <v>120</v>
      </c>
      <c r="D557" s="2" t="s">
        <v>111</v>
      </c>
      <c r="E557" s="2" t="s">
        <v>81</v>
      </c>
    </row>
    <row r="558" spans="1:5" x14ac:dyDescent="0.25">
      <c r="A558" s="15" t="s">
        <v>71</v>
      </c>
      <c r="B558" s="2" t="s">
        <v>711</v>
      </c>
      <c r="C558" s="3">
        <v>223</v>
      </c>
      <c r="D558" s="2" t="s">
        <v>111</v>
      </c>
      <c r="E558" s="2" t="s">
        <v>81</v>
      </c>
    </row>
    <row r="559" spans="1:5" x14ac:dyDescent="0.25">
      <c r="A559" s="15" t="s">
        <v>712</v>
      </c>
      <c r="B559" s="2" t="s">
        <v>713</v>
      </c>
      <c r="C559" s="3">
        <v>280</v>
      </c>
      <c r="D559" s="2" t="s">
        <v>105</v>
      </c>
      <c r="E559" s="2" t="s">
        <v>81</v>
      </c>
    </row>
    <row r="560" spans="1:5" x14ac:dyDescent="0.25">
      <c r="A560" s="15" t="s">
        <v>714</v>
      </c>
      <c r="B560" s="2" t="s">
        <v>715</v>
      </c>
      <c r="C560" s="3">
        <v>773</v>
      </c>
      <c r="D560" s="2" t="s">
        <v>102</v>
      </c>
      <c r="E560" s="2" t="s">
        <v>81</v>
      </c>
    </row>
    <row r="561" spans="1:5" x14ac:dyDescent="0.25">
      <c r="A561" s="15" t="s">
        <v>716</v>
      </c>
      <c r="B561" s="2" t="s">
        <v>717</v>
      </c>
      <c r="C561" s="3">
        <v>13.5</v>
      </c>
      <c r="D561" s="2" t="s">
        <v>109</v>
      </c>
      <c r="E561" s="2" t="s">
        <v>81</v>
      </c>
    </row>
    <row r="562" spans="1:5" x14ac:dyDescent="0.25">
      <c r="A562" s="15" t="s">
        <v>716</v>
      </c>
      <c r="B562" s="2" t="s">
        <v>718</v>
      </c>
      <c r="C562" s="3">
        <v>60</v>
      </c>
      <c r="D562" s="2" t="s">
        <v>101</v>
      </c>
      <c r="E562" s="2" t="s">
        <v>81</v>
      </c>
    </row>
    <row r="563" spans="1:5" x14ac:dyDescent="0.25">
      <c r="A563" s="15" t="s">
        <v>716</v>
      </c>
      <c r="B563" s="2" t="s">
        <v>222</v>
      </c>
      <c r="C563" s="3">
        <v>88</v>
      </c>
      <c r="D563" s="2" t="s">
        <v>101</v>
      </c>
      <c r="E563" s="2" t="s">
        <v>81</v>
      </c>
    </row>
    <row r="564" spans="1:5" x14ac:dyDescent="0.25">
      <c r="A564" s="15" t="s">
        <v>65</v>
      </c>
      <c r="B564" s="2" t="s">
        <v>719</v>
      </c>
      <c r="C564" s="3">
        <v>170</v>
      </c>
      <c r="D564" s="2" t="s">
        <v>102</v>
      </c>
      <c r="E564" s="2" t="s">
        <v>81</v>
      </c>
    </row>
    <row r="565" spans="1:5" x14ac:dyDescent="0.25">
      <c r="A565" s="15" t="s">
        <v>65</v>
      </c>
      <c r="B565" s="2" t="s">
        <v>215</v>
      </c>
      <c r="C565" s="3">
        <v>50</v>
      </c>
      <c r="D565" s="2" t="s">
        <v>111</v>
      </c>
      <c r="E565" s="2" t="s">
        <v>81</v>
      </c>
    </row>
    <row r="566" spans="1:5" x14ac:dyDescent="0.25">
      <c r="A566" s="15" t="s">
        <v>67</v>
      </c>
      <c r="B566" s="2" t="s">
        <v>720</v>
      </c>
      <c r="C566" s="3">
        <v>2122</v>
      </c>
      <c r="D566" s="2" t="s">
        <v>107</v>
      </c>
      <c r="E566" s="2" t="s">
        <v>81</v>
      </c>
    </row>
    <row r="567" spans="1:5" x14ac:dyDescent="0.25">
      <c r="A567" s="15" t="s">
        <v>721</v>
      </c>
      <c r="B567" s="2" t="s">
        <v>677</v>
      </c>
      <c r="C567" s="3">
        <v>280</v>
      </c>
      <c r="D567" s="2" t="s">
        <v>111</v>
      </c>
      <c r="E567" s="2" t="s">
        <v>81</v>
      </c>
    </row>
    <row r="568" spans="1:5" x14ac:dyDescent="0.25">
      <c r="A568" s="15" t="s">
        <v>722</v>
      </c>
      <c r="B568" s="2" t="s">
        <v>177</v>
      </c>
      <c r="C568" s="3">
        <v>115</v>
      </c>
      <c r="D568" s="2" t="s">
        <v>111</v>
      </c>
      <c r="E568" s="2" t="s">
        <v>81</v>
      </c>
    </row>
    <row r="569" spans="1:5" x14ac:dyDescent="0.25">
      <c r="A569" s="15" t="s">
        <v>722</v>
      </c>
      <c r="B569" s="2" t="s">
        <v>131</v>
      </c>
      <c r="C569" s="3">
        <v>35</v>
      </c>
      <c r="D569" s="2" t="s">
        <v>101</v>
      </c>
      <c r="E569" s="2" t="s">
        <v>81</v>
      </c>
    </row>
    <row r="570" spans="1:5" x14ac:dyDescent="0.25">
      <c r="A570" s="15" t="s">
        <v>722</v>
      </c>
      <c r="B570" s="2" t="s">
        <v>723</v>
      </c>
      <c r="C570" s="3">
        <v>380</v>
      </c>
      <c r="D570" s="2" t="s">
        <v>111</v>
      </c>
      <c r="E570" s="2" t="s">
        <v>81</v>
      </c>
    </row>
    <row r="571" spans="1:5" x14ac:dyDescent="0.25">
      <c r="A571" s="15" t="s">
        <v>722</v>
      </c>
      <c r="B571" s="2" t="s">
        <v>724</v>
      </c>
      <c r="C571" s="3">
        <v>10800</v>
      </c>
      <c r="D571" s="2" t="s">
        <v>197</v>
      </c>
      <c r="E571" s="2" t="s">
        <v>81</v>
      </c>
    </row>
    <row r="572" spans="1:5" x14ac:dyDescent="0.25">
      <c r="A572" s="15" t="s">
        <v>725</v>
      </c>
      <c r="B572" s="2" t="s">
        <v>726</v>
      </c>
      <c r="C572" s="3">
        <v>900</v>
      </c>
      <c r="D572" s="2" t="s">
        <v>197</v>
      </c>
      <c r="E572" s="2" t="s">
        <v>81</v>
      </c>
    </row>
    <row r="573" spans="1:5" x14ac:dyDescent="0.25">
      <c r="A573" s="15" t="s">
        <v>69</v>
      </c>
      <c r="B573" s="2" t="s">
        <v>727</v>
      </c>
      <c r="C573" s="3">
        <v>449</v>
      </c>
      <c r="D573" s="2" t="s">
        <v>102</v>
      </c>
      <c r="E573" s="2" t="s">
        <v>81</v>
      </c>
    </row>
    <row r="574" spans="1:5" x14ac:dyDescent="0.25">
      <c r="A574" s="15" t="s">
        <v>69</v>
      </c>
      <c r="B574" s="2" t="s">
        <v>677</v>
      </c>
      <c r="C574" s="3">
        <v>200</v>
      </c>
      <c r="D574" s="2" t="s">
        <v>111</v>
      </c>
      <c r="E574" s="2" t="s">
        <v>81</v>
      </c>
    </row>
    <row r="575" spans="1:5" x14ac:dyDescent="0.25">
      <c r="A575" s="15" t="s">
        <v>69</v>
      </c>
      <c r="B575" s="2" t="s">
        <v>728</v>
      </c>
      <c r="C575" s="3">
        <v>22500</v>
      </c>
      <c r="D575" s="2" t="s">
        <v>103</v>
      </c>
      <c r="E575" s="2" t="s">
        <v>81</v>
      </c>
    </row>
    <row r="576" spans="1:5" x14ac:dyDescent="0.25">
      <c r="A576" s="15" t="s">
        <v>729</v>
      </c>
      <c r="B576" s="2" t="s">
        <v>730</v>
      </c>
      <c r="C576" s="3">
        <v>410</v>
      </c>
      <c r="D576" s="2" t="s">
        <v>105</v>
      </c>
      <c r="E576" s="2" t="s">
        <v>81</v>
      </c>
    </row>
    <row r="577" spans="1:5" x14ac:dyDescent="0.25">
      <c r="A577" s="15" t="s">
        <v>731</v>
      </c>
      <c r="B577" s="2" t="s">
        <v>732</v>
      </c>
      <c r="C577" s="3">
        <v>2000</v>
      </c>
      <c r="D577" s="2" t="s">
        <v>106</v>
      </c>
      <c r="E577" s="2" t="s">
        <v>81</v>
      </c>
    </row>
    <row r="578" spans="1:5" x14ac:dyDescent="0.25">
      <c r="A578" s="15" t="s">
        <v>731</v>
      </c>
      <c r="B578" s="2" t="s">
        <v>270</v>
      </c>
      <c r="C578" s="3">
        <v>5100</v>
      </c>
      <c r="D578" s="2" t="s">
        <v>106</v>
      </c>
      <c r="E578" s="2" t="s">
        <v>81</v>
      </c>
    </row>
    <row r="579" spans="1:5" x14ac:dyDescent="0.25">
      <c r="A579" s="15" t="s">
        <v>733</v>
      </c>
      <c r="B579" s="2" t="s">
        <v>734</v>
      </c>
      <c r="C579" s="3">
        <v>5003</v>
      </c>
      <c r="D579" s="2" t="s">
        <v>102</v>
      </c>
      <c r="E579" s="2" t="s">
        <v>81</v>
      </c>
    </row>
    <row r="580" spans="1:5" x14ac:dyDescent="0.25">
      <c r="A580" s="15" t="s">
        <v>735</v>
      </c>
      <c r="B580" s="2" t="s">
        <v>736</v>
      </c>
      <c r="C580" s="3">
        <v>688</v>
      </c>
      <c r="D580" s="2" t="s">
        <v>102</v>
      </c>
      <c r="E580" s="2" t="s">
        <v>81</v>
      </c>
    </row>
    <row r="581" spans="1:5" x14ac:dyDescent="0.25">
      <c r="A581" s="15" t="s">
        <v>735</v>
      </c>
      <c r="B581" s="2" t="s">
        <v>737</v>
      </c>
      <c r="C581" s="3">
        <v>194</v>
      </c>
      <c r="D581" s="2" t="s">
        <v>102</v>
      </c>
      <c r="E581" s="2" t="s">
        <v>81</v>
      </c>
    </row>
    <row r="582" spans="1:5" x14ac:dyDescent="0.25">
      <c r="A582" s="15" t="s">
        <v>735</v>
      </c>
      <c r="B582" s="2" t="s">
        <v>150</v>
      </c>
      <c r="C582" s="3">
        <v>100</v>
      </c>
      <c r="D582" s="2" t="s">
        <v>111</v>
      </c>
      <c r="E582" s="2" t="s">
        <v>81</v>
      </c>
    </row>
    <row r="583" spans="1:5" x14ac:dyDescent="0.25">
      <c r="A583" s="15" t="s">
        <v>735</v>
      </c>
      <c r="B583" s="2" t="s">
        <v>738</v>
      </c>
      <c r="C583" s="3">
        <v>419</v>
      </c>
      <c r="D583" s="2" t="s">
        <v>102</v>
      </c>
      <c r="E583" s="2" t="s">
        <v>81</v>
      </c>
    </row>
    <row r="584" spans="1:5" x14ac:dyDescent="0.25">
      <c r="A584" s="15" t="s">
        <v>735</v>
      </c>
      <c r="B584" s="2" t="s">
        <v>739</v>
      </c>
      <c r="C584" s="3">
        <v>175</v>
      </c>
      <c r="D584" s="2" t="s">
        <v>109</v>
      </c>
      <c r="E584" s="2" t="s">
        <v>81</v>
      </c>
    </row>
    <row r="585" spans="1:5" x14ac:dyDescent="0.25">
      <c r="A585" s="15" t="s">
        <v>740</v>
      </c>
      <c r="B585" s="2" t="s">
        <v>741</v>
      </c>
      <c r="C585" s="3">
        <v>100</v>
      </c>
      <c r="D585" s="2" t="s">
        <v>111</v>
      </c>
      <c r="E585" s="2" t="s">
        <v>81</v>
      </c>
    </row>
    <row r="586" spans="1:5" x14ac:dyDescent="0.25">
      <c r="A586" s="15" t="s">
        <v>740</v>
      </c>
      <c r="B586" s="2" t="s">
        <v>177</v>
      </c>
      <c r="C586" s="3">
        <v>185</v>
      </c>
      <c r="D586" s="2" t="s">
        <v>111</v>
      </c>
      <c r="E586" s="2" t="s">
        <v>81</v>
      </c>
    </row>
    <row r="587" spans="1:5" x14ac:dyDescent="0.25">
      <c r="A587" s="15" t="s">
        <v>740</v>
      </c>
      <c r="B587" s="2" t="s">
        <v>742</v>
      </c>
      <c r="C587" s="3">
        <v>502</v>
      </c>
      <c r="D587" s="2" t="s">
        <v>111</v>
      </c>
      <c r="E587" s="2" t="s">
        <v>81</v>
      </c>
    </row>
    <row r="588" spans="1:5" x14ac:dyDescent="0.25">
      <c r="A588" s="15" t="s">
        <v>743</v>
      </c>
      <c r="B588" s="2" t="s">
        <v>237</v>
      </c>
      <c r="C588" s="3">
        <v>37</v>
      </c>
      <c r="D588" s="2" t="s">
        <v>109</v>
      </c>
      <c r="E588" s="2" t="s">
        <v>81</v>
      </c>
    </row>
    <row r="589" spans="1:5" x14ac:dyDescent="0.25">
      <c r="A589" s="15" t="s">
        <v>744</v>
      </c>
      <c r="B589" s="2" t="s">
        <v>745</v>
      </c>
      <c r="C589" s="3">
        <v>1057</v>
      </c>
      <c r="D589" s="2" t="s">
        <v>102</v>
      </c>
      <c r="E589" s="2" t="s">
        <v>81</v>
      </c>
    </row>
    <row r="590" spans="1:5" x14ac:dyDescent="0.25">
      <c r="A590" s="15" t="s">
        <v>746</v>
      </c>
      <c r="B590" s="2" t="s">
        <v>747</v>
      </c>
      <c r="C590" s="3">
        <v>649</v>
      </c>
      <c r="D590" s="2" t="s">
        <v>109</v>
      </c>
      <c r="E590" s="2" t="s">
        <v>81</v>
      </c>
    </row>
    <row r="591" spans="1:5" x14ac:dyDescent="0.25">
      <c r="A591" s="15" t="s">
        <v>746</v>
      </c>
      <c r="B591" s="2" t="s">
        <v>748</v>
      </c>
      <c r="C591" s="3">
        <v>250</v>
      </c>
      <c r="D591" s="2" t="s">
        <v>109</v>
      </c>
      <c r="E591" s="2" t="s">
        <v>81</v>
      </c>
    </row>
    <row r="592" spans="1:5" x14ac:dyDescent="0.25">
      <c r="A592" s="15" t="s">
        <v>746</v>
      </c>
      <c r="B592" s="2" t="s">
        <v>749</v>
      </c>
      <c r="C592" s="3">
        <v>3000</v>
      </c>
      <c r="D592" s="2" t="s">
        <v>109</v>
      </c>
      <c r="E592" s="2" t="s">
        <v>81</v>
      </c>
    </row>
    <row r="593" spans="1:5" x14ac:dyDescent="0.25">
      <c r="A593" s="15" t="s">
        <v>746</v>
      </c>
      <c r="B593" s="2" t="s">
        <v>750</v>
      </c>
      <c r="C593" s="3">
        <v>500</v>
      </c>
      <c r="D593" s="2" t="s">
        <v>109</v>
      </c>
      <c r="E593" s="2" t="s">
        <v>81</v>
      </c>
    </row>
    <row r="594" spans="1:5" x14ac:dyDescent="0.25">
      <c r="A594" s="15" t="s">
        <v>746</v>
      </c>
      <c r="B594" s="2" t="s">
        <v>751</v>
      </c>
      <c r="C594" s="3">
        <v>180</v>
      </c>
      <c r="D594" s="2" t="s">
        <v>111</v>
      </c>
      <c r="E594" s="2" t="s">
        <v>81</v>
      </c>
    </row>
    <row r="595" spans="1:5" x14ac:dyDescent="0.25">
      <c r="A595" s="15" t="s">
        <v>746</v>
      </c>
      <c r="B595" s="2" t="s">
        <v>752</v>
      </c>
      <c r="C595" s="3">
        <v>50</v>
      </c>
      <c r="D595" s="2" t="s">
        <v>109</v>
      </c>
      <c r="E595" s="2" t="s">
        <v>81</v>
      </c>
    </row>
    <row r="596" spans="1:5" x14ac:dyDescent="0.25">
      <c r="A596" s="15" t="s">
        <v>746</v>
      </c>
      <c r="B596" s="2" t="s">
        <v>753</v>
      </c>
      <c r="C596" s="3">
        <v>780</v>
      </c>
      <c r="D596" s="2" t="s">
        <v>104</v>
      </c>
      <c r="E596" s="2" t="s">
        <v>81</v>
      </c>
    </row>
    <row r="597" spans="1:5" x14ac:dyDescent="0.25">
      <c r="A597" s="15" t="s">
        <v>754</v>
      </c>
      <c r="B597" s="2" t="s">
        <v>160</v>
      </c>
      <c r="C597" s="3">
        <v>40</v>
      </c>
      <c r="D597" s="2" t="s">
        <v>111</v>
      </c>
      <c r="E597" s="2" t="s">
        <v>81</v>
      </c>
    </row>
    <row r="598" spans="1:5" x14ac:dyDescent="0.25">
      <c r="A598" s="15" t="s">
        <v>755</v>
      </c>
      <c r="B598" s="2" t="s">
        <v>756</v>
      </c>
      <c r="C598" s="3">
        <v>381</v>
      </c>
      <c r="D598" s="2" t="s">
        <v>102</v>
      </c>
      <c r="E598" s="2" t="s">
        <v>81</v>
      </c>
    </row>
    <row r="599" spans="1:5" x14ac:dyDescent="0.25">
      <c r="A599" s="15" t="s">
        <v>755</v>
      </c>
      <c r="B599" s="2" t="s">
        <v>757</v>
      </c>
      <c r="C599" s="3">
        <v>1254</v>
      </c>
      <c r="D599" s="2" t="s">
        <v>109</v>
      </c>
      <c r="E599" s="2" t="s">
        <v>81</v>
      </c>
    </row>
    <row r="600" spans="1:5" x14ac:dyDescent="0.25">
      <c r="A600" s="15" t="s">
        <v>755</v>
      </c>
      <c r="B600" s="2" t="s">
        <v>758</v>
      </c>
      <c r="C600" s="3">
        <v>205</v>
      </c>
      <c r="D600" s="2" t="s">
        <v>102</v>
      </c>
      <c r="E600" s="2" t="s">
        <v>81</v>
      </c>
    </row>
    <row r="601" spans="1:5" x14ac:dyDescent="0.25">
      <c r="A601" s="15" t="s">
        <v>755</v>
      </c>
      <c r="B601" s="2" t="s">
        <v>680</v>
      </c>
      <c r="C601" s="3">
        <v>220</v>
      </c>
      <c r="D601" s="2" t="s">
        <v>111</v>
      </c>
      <c r="E601" s="2" t="s">
        <v>81</v>
      </c>
    </row>
    <row r="602" spans="1:5" x14ac:dyDescent="0.25">
      <c r="A602" s="15" t="s">
        <v>755</v>
      </c>
      <c r="B602" s="2" t="s">
        <v>759</v>
      </c>
      <c r="C602" s="3">
        <v>90</v>
      </c>
      <c r="D602" s="2" t="s">
        <v>111</v>
      </c>
      <c r="E602" s="2" t="s">
        <v>81</v>
      </c>
    </row>
    <row r="603" spans="1:5" x14ac:dyDescent="0.25">
      <c r="A603" s="15" t="s">
        <v>755</v>
      </c>
      <c r="B603" s="2" t="s">
        <v>760</v>
      </c>
      <c r="C603" s="3">
        <v>140</v>
      </c>
      <c r="D603" s="2" t="s">
        <v>102</v>
      </c>
      <c r="E603" s="2" t="s">
        <v>81</v>
      </c>
    </row>
    <row r="604" spans="1:5" x14ac:dyDescent="0.25">
      <c r="A604" s="15" t="s">
        <v>755</v>
      </c>
      <c r="B604" s="2" t="s">
        <v>761</v>
      </c>
      <c r="C604" s="3">
        <v>70</v>
      </c>
      <c r="D604" s="2" t="s">
        <v>109</v>
      </c>
      <c r="E604" s="2" t="s">
        <v>81</v>
      </c>
    </row>
    <row r="605" spans="1:5" x14ac:dyDescent="0.25">
      <c r="A605" s="15" t="s">
        <v>755</v>
      </c>
      <c r="B605" s="2" t="s">
        <v>762</v>
      </c>
      <c r="C605" s="3">
        <v>150</v>
      </c>
      <c r="D605" s="2" t="s">
        <v>109</v>
      </c>
      <c r="E605" s="2" t="s">
        <v>81</v>
      </c>
    </row>
    <row r="606" spans="1:5" x14ac:dyDescent="0.25">
      <c r="A606" s="15" t="s">
        <v>755</v>
      </c>
      <c r="B606" s="2" t="s">
        <v>763</v>
      </c>
      <c r="C606" s="3">
        <v>185</v>
      </c>
      <c r="D606" s="2" t="s">
        <v>109</v>
      </c>
      <c r="E606" s="2" t="s">
        <v>81</v>
      </c>
    </row>
    <row r="607" spans="1:5" x14ac:dyDescent="0.25">
      <c r="A607" s="15" t="s">
        <v>755</v>
      </c>
      <c r="B607" s="2" t="s">
        <v>764</v>
      </c>
      <c r="C607" s="3">
        <v>65</v>
      </c>
      <c r="D607" s="2" t="s">
        <v>109</v>
      </c>
      <c r="E607" s="2" t="s">
        <v>81</v>
      </c>
    </row>
    <row r="608" spans="1:5" x14ac:dyDescent="0.25">
      <c r="A608" s="15" t="s">
        <v>755</v>
      </c>
      <c r="B608" s="2" t="s">
        <v>765</v>
      </c>
      <c r="C608" s="3">
        <v>80</v>
      </c>
      <c r="D608" s="2" t="s">
        <v>109</v>
      </c>
      <c r="E608" s="2" t="s">
        <v>81</v>
      </c>
    </row>
    <row r="609" spans="1:5" x14ac:dyDescent="0.25">
      <c r="A609" s="15" t="s">
        <v>766</v>
      </c>
      <c r="B609" s="2" t="s">
        <v>767</v>
      </c>
      <c r="C609" s="3">
        <v>4904</v>
      </c>
      <c r="D609" s="2" t="s">
        <v>104</v>
      </c>
      <c r="E609" s="2" t="s">
        <v>81</v>
      </c>
    </row>
    <row r="610" spans="1:5" x14ac:dyDescent="0.25">
      <c r="A610" s="15" t="s">
        <v>768</v>
      </c>
      <c r="B610" s="2" t="s">
        <v>769</v>
      </c>
      <c r="C610" s="3">
        <v>78</v>
      </c>
      <c r="D610" s="2" t="s">
        <v>109</v>
      </c>
      <c r="E610" s="2" t="s">
        <v>81</v>
      </c>
    </row>
    <row r="611" spans="1:5" x14ac:dyDescent="0.25">
      <c r="A611" s="15" t="s">
        <v>770</v>
      </c>
      <c r="B611" s="2" t="s">
        <v>771</v>
      </c>
      <c r="C611" s="3">
        <v>310</v>
      </c>
      <c r="D611" s="2" t="s">
        <v>109</v>
      </c>
      <c r="E611" s="2" t="s">
        <v>81</v>
      </c>
    </row>
    <row r="612" spans="1:5" x14ac:dyDescent="0.25">
      <c r="A612" s="15" t="s">
        <v>772</v>
      </c>
      <c r="B612" s="2" t="s">
        <v>773</v>
      </c>
      <c r="C612" s="3">
        <v>243</v>
      </c>
      <c r="D612" s="2" t="s">
        <v>109</v>
      </c>
      <c r="E612" s="2" t="s">
        <v>81</v>
      </c>
    </row>
    <row r="613" spans="1:5" x14ac:dyDescent="0.25">
      <c r="A613" s="15" t="s">
        <v>772</v>
      </c>
      <c r="B613" s="2" t="s">
        <v>195</v>
      </c>
      <c r="C613" s="3">
        <v>870</v>
      </c>
      <c r="D613" s="2" t="s">
        <v>107</v>
      </c>
      <c r="E613" s="2" t="s">
        <v>81</v>
      </c>
    </row>
    <row r="614" spans="1:5" x14ac:dyDescent="0.25">
      <c r="A614" s="15" t="s">
        <v>772</v>
      </c>
      <c r="B614" s="2" t="s">
        <v>774</v>
      </c>
      <c r="C614" s="3">
        <v>180</v>
      </c>
      <c r="D614" s="2" t="s">
        <v>111</v>
      </c>
      <c r="E614" s="2" t="s">
        <v>81</v>
      </c>
    </row>
    <row r="615" spans="1:5" x14ac:dyDescent="0.25">
      <c r="A615" s="15" t="s">
        <v>772</v>
      </c>
      <c r="B615" s="2" t="s">
        <v>505</v>
      </c>
      <c r="C615" s="3">
        <v>440</v>
      </c>
      <c r="D615" s="2" t="s">
        <v>101</v>
      </c>
      <c r="E615" s="2" t="s">
        <v>81</v>
      </c>
    </row>
    <row r="616" spans="1:5" x14ac:dyDescent="0.25">
      <c r="A616" s="15" t="s">
        <v>772</v>
      </c>
      <c r="B616" s="2" t="s">
        <v>192</v>
      </c>
      <c r="C616" s="3">
        <v>500</v>
      </c>
      <c r="D616" s="2" t="s">
        <v>109</v>
      </c>
      <c r="E616" s="2" t="s">
        <v>81</v>
      </c>
    </row>
    <row r="617" spans="1:5" x14ac:dyDescent="0.25">
      <c r="A617" s="15" t="s">
        <v>772</v>
      </c>
      <c r="B617" s="2" t="s">
        <v>623</v>
      </c>
      <c r="C617" s="3">
        <v>28.5</v>
      </c>
      <c r="D617" s="2" t="s">
        <v>109</v>
      </c>
      <c r="E617" s="2" t="s">
        <v>81</v>
      </c>
    </row>
    <row r="618" spans="1:5" x14ac:dyDescent="0.25">
      <c r="A618" s="15" t="s">
        <v>775</v>
      </c>
      <c r="B618" s="2" t="s">
        <v>102</v>
      </c>
      <c r="C618" s="3">
        <v>1049</v>
      </c>
      <c r="D618" s="2" t="s">
        <v>102</v>
      </c>
      <c r="E618" s="2" t="s">
        <v>82</v>
      </c>
    </row>
    <row r="619" spans="1:5" x14ac:dyDescent="0.25">
      <c r="A619" s="15" t="s">
        <v>776</v>
      </c>
      <c r="B619" s="2" t="s">
        <v>777</v>
      </c>
      <c r="C619" s="3">
        <v>125</v>
      </c>
      <c r="D619" s="2" t="s">
        <v>111</v>
      </c>
      <c r="E619" s="2" t="s">
        <v>82</v>
      </c>
    </row>
    <row r="620" spans="1:5" x14ac:dyDescent="0.25">
      <c r="A620" s="15" t="s">
        <v>776</v>
      </c>
      <c r="B620" s="2" t="s">
        <v>618</v>
      </c>
      <c r="C620" s="3">
        <v>340</v>
      </c>
      <c r="D620" s="2" t="s">
        <v>102</v>
      </c>
      <c r="E620" s="2" t="s">
        <v>82</v>
      </c>
    </row>
    <row r="621" spans="1:5" x14ac:dyDescent="0.25">
      <c r="A621" s="15" t="s">
        <v>776</v>
      </c>
      <c r="B621" s="2" t="s">
        <v>128</v>
      </c>
      <c r="C621" s="3">
        <v>316</v>
      </c>
      <c r="D621" s="2" t="s">
        <v>109</v>
      </c>
      <c r="E621" s="2" t="s">
        <v>82</v>
      </c>
    </row>
    <row r="622" spans="1:5" x14ac:dyDescent="0.25">
      <c r="A622" s="15" t="s">
        <v>776</v>
      </c>
      <c r="B622" s="2" t="s">
        <v>778</v>
      </c>
      <c r="C622" s="3">
        <v>20</v>
      </c>
      <c r="D622" s="2" t="s">
        <v>111</v>
      </c>
      <c r="E622" s="2" t="s">
        <v>82</v>
      </c>
    </row>
    <row r="623" spans="1:5" x14ac:dyDescent="0.25">
      <c r="A623" s="15" t="s">
        <v>776</v>
      </c>
      <c r="B623" s="2" t="s">
        <v>779</v>
      </c>
      <c r="C623" s="3">
        <v>4330</v>
      </c>
      <c r="D623" s="2" t="s">
        <v>99</v>
      </c>
      <c r="E623" s="2" t="s">
        <v>82</v>
      </c>
    </row>
    <row r="624" spans="1:5" x14ac:dyDescent="0.25">
      <c r="A624" s="15" t="s">
        <v>75</v>
      </c>
      <c r="B624" s="2" t="s">
        <v>445</v>
      </c>
      <c r="C624" s="3">
        <v>503</v>
      </c>
      <c r="D624" s="2" t="s">
        <v>111</v>
      </c>
      <c r="E624" s="2" t="s">
        <v>82</v>
      </c>
    </row>
    <row r="625" spans="1:5" x14ac:dyDescent="0.25">
      <c r="A625" s="15" t="s">
        <v>75</v>
      </c>
      <c r="B625" s="2" t="s">
        <v>780</v>
      </c>
      <c r="C625" s="3">
        <v>540</v>
      </c>
      <c r="D625" s="2" t="s">
        <v>105</v>
      </c>
      <c r="E625" s="2" t="s">
        <v>82</v>
      </c>
    </row>
    <row r="626" spans="1:5" x14ac:dyDescent="0.25">
      <c r="A626" s="15" t="s">
        <v>781</v>
      </c>
      <c r="B626" s="2" t="s">
        <v>782</v>
      </c>
      <c r="C626" s="3">
        <v>220</v>
      </c>
      <c r="D626" s="2" t="s">
        <v>102</v>
      </c>
      <c r="E626" s="2" t="s">
        <v>82</v>
      </c>
    </row>
    <row r="627" spans="1:5" x14ac:dyDescent="0.25">
      <c r="A627" s="15" t="s">
        <v>781</v>
      </c>
      <c r="B627" s="2" t="s">
        <v>783</v>
      </c>
      <c r="C627" s="3">
        <v>666</v>
      </c>
      <c r="D627" s="2" t="s">
        <v>109</v>
      </c>
      <c r="E627" s="2" t="s">
        <v>82</v>
      </c>
    </row>
    <row r="628" spans="1:5" x14ac:dyDescent="0.25">
      <c r="A628" s="15" t="s">
        <v>784</v>
      </c>
      <c r="B628" s="2" t="s">
        <v>785</v>
      </c>
      <c r="C628" s="3">
        <v>8000</v>
      </c>
      <c r="D628" s="2" t="s">
        <v>106</v>
      </c>
      <c r="E628" s="2" t="s">
        <v>82</v>
      </c>
    </row>
    <row r="629" spans="1:5" x14ac:dyDescent="0.25">
      <c r="A629" s="15" t="s">
        <v>786</v>
      </c>
      <c r="B629" s="2" t="s">
        <v>787</v>
      </c>
      <c r="C629" s="3">
        <v>22500</v>
      </c>
      <c r="D629" s="2" t="s">
        <v>103</v>
      </c>
      <c r="E629" s="2" t="s">
        <v>82</v>
      </c>
    </row>
    <row r="630" spans="1:5" x14ac:dyDescent="0.25">
      <c r="A630" s="15" t="s">
        <v>786</v>
      </c>
      <c r="B630" s="2" t="s">
        <v>788</v>
      </c>
      <c r="C630" s="3">
        <v>536</v>
      </c>
      <c r="D630" s="2" t="s">
        <v>101</v>
      </c>
      <c r="E630" s="2" t="s">
        <v>82</v>
      </c>
    </row>
    <row r="631" spans="1:5" x14ac:dyDescent="0.25">
      <c r="A631" s="15" t="s">
        <v>786</v>
      </c>
      <c r="B631" s="2" t="s">
        <v>448</v>
      </c>
      <c r="C631" s="3">
        <v>1109</v>
      </c>
      <c r="D631" s="2" t="s">
        <v>100</v>
      </c>
      <c r="E631" s="2" t="s">
        <v>82</v>
      </c>
    </row>
    <row r="632" spans="1:5" x14ac:dyDescent="0.25">
      <c r="A632" s="15" t="s">
        <v>789</v>
      </c>
      <c r="B632" s="2" t="s">
        <v>790</v>
      </c>
      <c r="C632" s="3">
        <v>5182</v>
      </c>
      <c r="D632" s="2" t="s">
        <v>102</v>
      </c>
      <c r="E632" s="2" t="s">
        <v>82</v>
      </c>
    </row>
    <row r="633" spans="1:5" x14ac:dyDescent="0.25">
      <c r="A633" s="15" t="s">
        <v>791</v>
      </c>
      <c r="B633" s="2" t="s">
        <v>792</v>
      </c>
      <c r="C633" s="3">
        <v>58</v>
      </c>
      <c r="D633" s="2" t="s">
        <v>111</v>
      </c>
      <c r="E633" s="2" t="s">
        <v>82</v>
      </c>
    </row>
    <row r="634" spans="1:5" x14ac:dyDescent="0.25">
      <c r="A634" s="15" t="s">
        <v>793</v>
      </c>
      <c r="B634" s="2" t="s">
        <v>730</v>
      </c>
      <c r="C634" s="3">
        <v>170</v>
      </c>
      <c r="D634" s="2" t="s">
        <v>105</v>
      </c>
      <c r="E634" s="2" t="s">
        <v>82</v>
      </c>
    </row>
    <row r="635" spans="1:5" x14ac:dyDescent="0.25">
      <c r="A635" s="15" t="s">
        <v>793</v>
      </c>
      <c r="B635" s="2" t="s">
        <v>794</v>
      </c>
      <c r="C635" s="3">
        <v>219</v>
      </c>
      <c r="D635" s="2" t="s">
        <v>111</v>
      </c>
      <c r="E635" s="2" t="s">
        <v>82</v>
      </c>
    </row>
    <row r="636" spans="1:5" x14ac:dyDescent="0.25">
      <c r="A636" s="15" t="s">
        <v>793</v>
      </c>
      <c r="B636" s="2" t="s">
        <v>795</v>
      </c>
      <c r="C636" s="3">
        <v>190</v>
      </c>
      <c r="D636" s="2" t="s">
        <v>102</v>
      </c>
      <c r="E636" s="2" t="s">
        <v>82</v>
      </c>
    </row>
    <row r="637" spans="1:5" x14ac:dyDescent="0.25">
      <c r="A637" s="15" t="s">
        <v>793</v>
      </c>
      <c r="B637" s="2" t="s">
        <v>677</v>
      </c>
      <c r="C637" s="3">
        <v>890</v>
      </c>
      <c r="D637" s="2" t="s">
        <v>111</v>
      </c>
      <c r="E637" s="2" t="s">
        <v>82</v>
      </c>
    </row>
    <row r="638" spans="1:5" x14ac:dyDescent="0.25">
      <c r="A638" s="15" t="s">
        <v>796</v>
      </c>
      <c r="B638" s="2" t="s">
        <v>584</v>
      </c>
      <c r="C638" s="3">
        <v>35</v>
      </c>
      <c r="D638" s="2" t="s">
        <v>102</v>
      </c>
      <c r="E638" s="2" t="s">
        <v>82</v>
      </c>
    </row>
    <row r="639" spans="1:5" x14ac:dyDescent="0.25">
      <c r="A639" s="15" t="s">
        <v>796</v>
      </c>
      <c r="B639" s="2" t="s">
        <v>797</v>
      </c>
      <c r="C639" s="3">
        <v>180</v>
      </c>
      <c r="D639" s="2" t="s">
        <v>111</v>
      </c>
      <c r="E639" s="2" t="s">
        <v>82</v>
      </c>
    </row>
    <row r="640" spans="1:5" x14ac:dyDescent="0.25">
      <c r="A640" s="15" t="s">
        <v>798</v>
      </c>
      <c r="B640" s="2" t="s">
        <v>799</v>
      </c>
      <c r="C640" s="3">
        <v>740</v>
      </c>
      <c r="D640" s="2" t="s">
        <v>104</v>
      </c>
      <c r="E640" s="2" t="s">
        <v>82</v>
      </c>
    </row>
    <row r="641" spans="1:5" x14ac:dyDescent="0.25">
      <c r="A641" s="15" t="s">
        <v>800</v>
      </c>
      <c r="B641" s="2" t="s">
        <v>801</v>
      </c>
      <c r="C641" s="3">
        <v>320</v>
      </c>
      <c r="D641" s="2" t="s">
        <v>111</v>
      </c>
      <c r="E641" s="2" t="s">
        <v>82</v>
      </c>
    </row>
    <row r="642" spans="1:5" x14ac:dyDescent="0.25">
      <c r="A642" s="15" t="s">
        <v>800</v>
      </c>
      <c r="B642" s="2" t="s">
        <v>102</v>
      </c>
      <c r="C642" s="3">
        <v>1624</v>
      </c>
      <c r="D642" s="2" t="s">
        <v>109</v>
      </c>
      <c r="E642" s="2" t="s">
        <v>82</v>
      </c>
    </row>
    <row r="643" spans="1:5" x14ac:dyDescent="0.25">
      <c r="A643" s="15" t="s">
        <v>800</v>
      </c>
      <c r="B643" s="2" t="s">
        <v>802</v>
      </c>
      <c r="C643" s="3">
        <v>649</v>
      </c>
      <c r="D643" s="2" t="s">
        <v>109</v>
      </c>
      <c r="E643" s="2" t="s">
        <v>82</v>
      </c>
    </row>
    <row r="644" spans="1:5" x14ac:dyDescent="0.25">
      <c r="A644" s="15" t="s">
        <v>800</v>
      </c>
      <c r="B644" s="2" t="s">
        <v>192</v>
      </c>
      <c r="C644" s="3">
        <v>500</v>
      </c>
      <c r="D644" s="2" t="s">
        <v>111</v>
      </c>
      <c r="E644" s="2" t="s">
        <v>82</v>
      </c>
    </row>
    <row r="645" spans="1:5" x14ac:dyDescent="0.25">
      <c r="A645" s="15" t="s">
        <v>800</v>
      </c>
      <c r="B645" s="2" t="s">
        <v>803</v>
      </c>
      <c r="C645" s="3">
        <v>168</v>
      </c>
      <c r="D645" s="2" t="s">
        <v>104</v>
      </c>
      <c r="E645" s="2" t="s">
        <v>82</v>
      </c>
    </row>
    <row r="646" spans="1:5" x14ac:dyDescent="0.25">
      <c r="A646" s="15" t="s">
        <v>800</v>
      </c>
      <c r="B646" s="2" t="s">
        <v>804</v>
      </c>
      <c r="C646" s="3">
        <v>710</v>
      </c>
      <c r="D646" s="2" t="s">
        <v>109</v>
      </c>
      <c r="E646" s="2" t="s">
        <v>82</v>
      </c>
    </row>
    <row r="647" spans="1:5" x14ac:dyDescent="0.25">
      <c r="A647" s="15" t="s">
        <v>805</v>
      </c>
      <c r="B647" s="2" t="s">
        <v>128</v>
      </c>
      <c r="C647" s="3">
        <v>85</v>
      </c>
      <c r="D647" s="2" t="s">
        <v>109</v>
      </c>
      <c r="E647" s="2" t="s">
        <v>82</v>
      </c>
    </row>
    <row r="648" spans="1:5" x14ac:dyDescent="0.25">
      <c r="A648" s="15" t="s">
        <v>78</v>
      </c>
      <c r="B648" s="2" t="s">
        <v>445</v>
      </c>
      <c r="C648" s="3">
        <v>224</v>
      </c>
      <c r="D648" s="2" t="s">
        <v>102</v>
      </c>
      <c r="E648" s="2" t="s">
        <v>82</v>
      </c>
    </row>
    <row r="649" spans="1:5" x14ac:dyDescent="0.25">
      <c r="A649" s="15" t="s">
        <v>806</v>
      </c>
      <c r="B649" s="2" t="s">
        <v>807</v>
      </c>
      <c r="C649" s="3">
        <v>6543</v>
      </c>
      <c r="D649" s="2" t="s">
        <v>112</v>
      </c>
      <c r="E649" s="2" t="s">
        <v>82</v>
      </c>
    </row>
    <row r="650" spans="1:5" x14ac:dyDescent="0.25">
      <c r="A650" s="15" t="s">
        <v>808</v>
      </c>
      <c r="B650" s="2" t="s">
        <v>237</v>
      </c>
      <c r="C650" s="3">
        <v>40</v>
      </c>
      <c r="D650" s="2" t="s">
        <v>109</v>
      </c>
      <c r="E650" s="2" t="s">
        <v>82</v>
      </c>
    </row>
    <row r="651" spans="1:5" x14ac:dyDescent="0.25">
      <c r="A651" s="15" t="s">
        <v>808</v>
      </c>
      <c r="B651" s="2" t="s">
        <v>809</v>
      </c>
      <c r="C651" s="3">
        <v>140</v>
      </c>
      <c r="D651" s="2" t="s">
        <v>102</v>
      </c>
      <c r="E651" s="2" t="s">
        <v>82</v>
      </c>
    </row>
    <row r="652" spans="1:5" x14ac:dyDescent="0.25">
      <c r="A652" s="15" t="s">
        <v>810</v>
      </c>
      <c r="B652" s="2" t="s">
        <v>445</v>
      </c>
      <c r="C652" s="3">
        <v>220</v>
      </c>
      <c r="D652" s="2" t="s">
        <v>109</v>
      </c>
      <c r="E652" s="2" t="s">
        <v>82</v>
      </c>
    </row>
    <row r="653" spans="1:5" x14ac:dyDescent="0.25">
      <c r="A653" s="15" t="s">
        <v>811</v>
      </c>
      <c r="B653" s="2" t="s">
        <v>195</v>
      </c>
      <c r="C653" s="3">
        <v>891</v>
      </c>
      <c r="D653" s="2" t="s">
        <v>107</v>
      </c>
      <c r="E653" s="2" t="s">
        <v>82</v>
      </c>
    </row>
    <row r="654" spans="1:5" x14ac:dyDescent="0.25">
      <c r="A654" s="15" t="s">
        <v>811</v>
      </c>
      <c r="B654" s="2" t="s">
        <v>249</v>
      </c>
      <c r="C654" s="3">
        <v>516</v>
      </c>
      <c r="D654" s="2" t="s">
        <v>102</v>
      </c>
      <c r="E654" s="2" t="s">
        <v>82</v>
      </c>
    </row>
    <row r="655" spans="1:5" x14ac:dyDescent="0.25">
      <c r="A655" s="15" t="s">
        <v>811</v>
      </c>
      <c r="B655" s="2" t="s">
        <v>812</v>
      </c>
      <c r="C655" s="3">
        <v>180</v>
      </c>
      <c r="D655" s="2" t="s">
        <v>111</v>
      </c>
      <c r="E655" s="2" t="s">
        <v>82</v>
      </c>
    </row>
    <row r="656" spans="1:5" x14ac:dyDescent="0.25">
      <c r="A656" s="15" t="s">
        <v>811</v>
      </c>
      <c r="B656" s="2" t="s">
        <v>813</v>
      </c>
      <c r="C656" s="3">
        <v>1057</v>
      </c>
      <c r="D656" s="2" t="s">
        <v>102</v>
      </c>
      <c r="E656" s="2" t="s">
        <v>82</v>
      </c>
    </row>
    <row r="657" spans="1:5" x14ac:dyDescent="0.25">
      <c r="A657" s="15" t="s">
        <v>811</v>
      </c>
      <c r="B657" s="2" t="s">
        <v>814</v>
      </c>
      <c r="C657" s="3">
        <v>200</v>
      </c>
      <c r="D657" s="2" t="s">
        <v>102</v>
      </c>
      <c r="E657" s="2" t="s">
        <v>82</v>
      </c>
    </row>
    <row r="658" spans="1:5" x14ac:dyDescent="0.25">
      <c r="A658" s="15" t="s">
        <v>811</v>
      </c>
      <c r="B658" s="2" t="s">
        <v>726</v>
      </c>
      <c r="C658" s="3">
        <v>437.31</v>
      </c>
      <c r="D658" s="2" t="s">
        <v>109</v>
      </c>
      <c r="E658" s="2" t="s">
        <v>82</v>
      </c>
    </row>
    <row r="659" spans="1:5" x14ac:dyDescent="0.25">
      <c r="A659" s="15" t="s">
        <v>811</v>
      </c>
      <c r="B659" s="2" t="s">
        <v>815</v>
      </c>
      <c r="C659" s="3">
        <v>480</v>
      </c>
      <c r="D659" s="2" t="s">
        <v>111</v>
      </c>
      <c r="E659" s="2" t="s">
        <v>82</v>
      </c>
    </row>
    <row r="660" spans="1:5" x14ac:dyDescent="0.25">
      <c r="A660" s="15" t="s">
        <v>811</v>
      </c>
      <c r="B660" s="2" t="s">
        <v>816</v>
      </c>
      <c r="C660" s="3">
        <v>118</v>
      </c>
      <c r="D660" s="2" t="s">
        <v>102</v>
      </c>
      <c r="E660" s="2" t="s">
        <v>82</v>
      </c>
    </row>
    <row r="661" spans="1:5" x14ac:dyDescent="0.25">
      <c r="A661" s="15" t="s">
        <v>817</v>
      </c>
      <c r="B661" s="2" t="s">
        <v>818</v>
      </c>
      <c r="C661" s="3">
        <v>520</v>
      </c>
      <c r="D661" s="2" t="s">
        <v>102</v>
      </c>
      <c r="E661" s="2" t="s">
        <v>83</v>
      </c>
    </row>
    <row r="662" spans="1:5" x14ac:dyDescent="0.25">
      <c r="A662" s="15" t="s">
        <v>819</v>
      </c>
      <c r="B662" s="2" t="s">
        <v>237</v>
      </c>
      <c r="C662" s="3">
        <v>35</v>
      </c>
      <c r="D662" s="2" t="s">
        <v>109</v>
      </c>
      <c r="E662" s="2" t="s">
        <v>83</v>
      </c>
    </row>
    <row r="663" spans="1:5" x14ac:dyDescent="0.25">
      <c r="A663" s="15" t="s">
        <v>84</v>
      </c>
      <c r="B663" s="2" t="s">
        <v>820</v>
      </c>
      <c r="C663" s="3">
        <v>130</v>
      </c>
      <c r="D663" s="2" t="s">
        <v>111</v>
      </c>
      <c r="E663" s="2" t="s">
        <v>83</v>
      </c>
    </row>
    <row r="664" spans="1:5" x14ac:dyDescent="0.25">
      <c r="A664" s="15" t="s">
        <v>84</v>
      </c>
      <c r="B664" s="2" t="s">
        <v>821</v>
      </c>
      <c r="C664" s="3">
        <v>437.31</v>
      </c>
      <c r="D664" s="2" t="s">
        <v>109</v>
      </c>
      <c r="E664" s="2" t="s">
        <v>83</v>
      </c>
    </row>
    <row r="665" spans="1:5" x14ac:dyDescent="0.25">
      <c r="A665" s="15" t="s">
        <v>84</v>
      </c>
      <c r="B665" s="2" t="s">
        <v>822</v>
      </c>
      <c r="C665" s="3">
        <v>520</v>
      </c>
      <c r="D665" s="2" t="s">
        <v>111</v>
      </c>
      <c r="E665" s="2" t="s">
        <v>83</v>
      </c>
    </row>
    <row r="666" spans="1:5" x14ac:dyDescent="0.25">
      <c r="A666" s="15" t="s">
        <v>84</v>
      </c>
      <c r="B666" s="2" t="s">
        <v>823</v>
      </c>
      <c r="C666" s="3">
        <v>160</v>
      </c>
      <c r="D666" s="2" t="s">
        <v>109</v>
      </c>
      <c r="E666" s="2" t="s">
        <v>83</v>
      </c>
    </row>
    <row r="667" spans="1:5" x14ac:dyDescent="0.25">
      <c r="A667" s="15" t="s">
        <v>84</v>
      </c>
      <c r="B667" s="2" t="s">
        <v>824</v>
      </c>
      <c r="C667" s="3">
        <v>80</v>
      </c>
      <c r="D667" s="2" t="s">
        <v>109</v>
      </c>
      <c r="E667" s="2" t="s">
        <v>83</v>
      </c>
    </row>
    <row r="668" spans="1:5" x14ac:dyDescent="0.25">
      <c r="A668" s="15" t="s">
        <v>84</v>
      </c>
      <c r="B668" s="2" t="s">
        <v>825</v>
      </c>
      <c r="C668" s="3">
        <v>4110</v>
      </c>
      <c r="D668" s="2" t="s">
        <v>99</v>
      </c>
      <c r="E668" s="2" t="s">
        <v>83</v>
      </c>
    </row>
    <row r="669" spans="1:5" x14ac:dyDescent="0.25">
      <c r="A669" s="15" t="s">
        <v>826</v>
      </c>
      <c r="B669" s="2" t="s">
        <v>584</v>
      </c>
      <c r="C669" s="3">
        <v>35</v>
      </c>
      <c r="D669" s="2" t="s">
        <v>102</v>
      </c>
      <c r="E669" s="2" t="s">
        <v>83</v>
      </c>
    </row>
    <row r="670" spans="1:5" x14ac:dyDescent="0.25">
      <c r="A670" s="15" t="s">
        <v>87</v>
      </c>
      <c r="B670" s="2" t="s">
        <v>827</v>
      </c>
      <c r="C670" s="3">
        <v>4170</v>
      </c>
      <c r="D670" s="2" t="s">
        <v>107</v>
      </c>
      <c r="E670" s="2" t="s">
        <v>83</v>
      </c>
    </row>
    <row r="671" spans="1:5" x14ac:dyDescent="0.25">
      <c r="A671" s="15" t="s">
        <v>87</v>
      </c>
      <c r="B671" s="2" t="s">
        <v>828</v>
      </c>
      <c r="C671" s="3">
        <v>7000</v>
      </c>
      <c r="D671" s="2" t="s">
        <v>106</v>
      </c>
      <c r="E671" s="2" t="s">
        <v>83</v>
      </c>
    </row>
    <row r="672" spans="1:5" x14ac:dyDescent="0.25">
      <c r="A672" s="15" t="s">
        <v>87</v>
      </c>
      <c r="B672" s="2" t="s">
        <v>829</v>
      </c>
      <c r="C672" s="3">
        <v>783</v>
      </c>
      <c r="D672" s="2" t="s">
        <v>102</v>
      </c>
      <c r="E672" s="2" t="s">
        <v>83</v>
      </c>
    </row>
    <row r="673" spans="1:5" x14ac:dyDescent="0.25">
      <c r="A673" s="15" t="s">
        <v>87</v>
      </c>
      <c r="B673" s="2" t="s">
        <v>822</v>
      </c>
      <c r="C673" s="3">
        <v>280</v>
      </c>
      <c r="D673" s="2" t="s">
        <v>111</v>
      </c>
      <c r="E673" s="2" t="s">
        <v>83</v>
      </c>
    </row>
    <row r="674" spans="1:5" x14ac:dyDescent="0.25">
      <c r="A674" s="15" t="s">
        <v>87</v>
      </c>
      <c r="B674" s="2" t="s">
        <v>830</v>
      </c>
      <c r="C674" s="3">
        <v>140</v>
      </c>
      <c r="D674" s="2" t="s">
        <v>111</v>
      </c>
      <c r="E674" s="2" t="s">
        <v>83</v>
      </c>
    </row>
    <row r="675" spans="1:5" x14ac:dyDescent="0.25">
      <c r="A675" s="15" t="s">
        <v>87</v>
      </c>
      <c r="B675" s="2" t="s">
        <v>831</v>
      </c>
      <c r="C675" s="3">
        <v>8824</v>
      </c>
      <c r="D675" s="2" t="s">
        <v>104</v>
      </c>
      <c r="E675" s="2" t="s">
        <v>83</v>
      </c>
    </row>
    <row r="676" spans="1:5" x14ac:dyDescent="0.25">
      <c r="A676" s="15" t="s">
        <v>87</v>
      </c>
      <c r="B676" s="2" t="s">
        <v>832</v>
      </c>
      <c r="C676" s="3">
        <v>400</v>
      </c>
      <c r="D676" s="2" t="s">
        <v>109</v>
      </c>
      <c r="E676" s="2" t="s">
        <v>83</v>
      </c>
    </row>
    <row r="677" spans="1:5" x14ac:dyDescent="0.25">
      <c r="A677" s="15" t="s">
        <v>833</v>
      </c>
      <c r="B677" s="2" t="s">
        <v>177</v>
      </c>
      <c r="C677" s="3">
        <v>250</v>
      </c>
      <c r="D677" s="2" t="s">
        <v>111</v>
      </c>
      <c r="E677" s="2" t="s">
        <v>83</v>
      </c>
    </row>
    <row r="678" spans="1:5" x14ac:dyDescent="0.25">
      <c r="A678" s="15" t="s">
        <v>834</v>
      </c>
      <c r="B678" s="2" t="s">
        <v>462</v>
      </c>
      <c r="C678" s="3">
        <v>57</v>
      </c>
      <c r="D678" s="2" t="s">
        <v>102</v>
      </c>
      <c r="E678" s="2" t="s">
        <v>83</v>
      </c>
    </row>
    <row r="679" spans="1:5" x14ac:dyDescent="0.25">
      <c r="A679" s="15" t="s">
        <v>835</v>
      </c>
      <c r="B679" s="2" t="s">
        <v>836</v>
      </c>
      <c r="C679" s="3">
        <v>913</v>
      </c>
      <c r="D679" s="2" t="s">
        <v>109</v>
      </c>
      <c r="E679" s="2" t="s">
        <v>83</v>
      </c>
    </row>
    <row r="680" spans="1:5" x14ac:dyDescent="0.25">
      <c r="A680" s="15" t="s">
        <v>837</v>
      </c>
      <c r="B680" s="2" t="s">
        <v>105</v>
      </c>
      <c r="C680" s="3">
        <v>110</v>
      </c>
      <c r="D680" s="2" t="s">
        <v>109</v>
      </c>
      <c r="E680" s="2" t="s">
        <v>83</v>
      </c>
    </row>
    <row r="681" spans="1:5" x14ac:dyDescent="0.25">
      <c r="A681" s="15" t="s">
        <v>89</v>
      </c>
      <c r="B681" s="2" t="s">
        <v>838</v>
      </c>
      <c r="C681" s="3">
        <v>1583</v>
      </c>
      <c r="D681" s="2" t="s">
        <v>102</v>
      </c>
      <c r="E681" s="2" t="s">
        <v>83</v>
      </c>
    </row>
    <row r="682" spans="1:5" x14ac:dyDescent="0.25">
      <c r="A682" s="15" t="s">
        <v>89</v>
      </c>
      <c r="B682" s="2" t="s">
        <v>839</v>
      </c>
      <c r="C682" s="3">
        <v>330</v>
      </c>
      <c r="D682" s="2" t="s">
        <v>111</v>
      </c>
      <c r="E682" s="2" t="s">
        <v>83</v>
      </c>
    </row>
    <row r="683" spans="1:5" x14ac:dyDescent="0.25">
      <c r="A683" s="15" t="s">
        <v>89</v>
      </c>
      <c r="B683" s="2" t="s">
        <v>195</v>
      </c>
      <c r="C683" s="3">
        <v>29</v>
      </c>
      <c r="D683" s="2" t="s">
        <v>107</v>
      </c>
      <c r="E683" s="2" t="s">
        <v>83</v>
      </c>
    </row>
    <row r="684" spans="1:5" x14ac:dyDescent="0.25">
      <c r="A684" s="15" t="s">
        <v>89</v>
      </c>
      <c r="B684" s="2" t="s">
        <v>840</v>
      </c>
      <c r="C684" s="3">
        <v>22500</v>
      </c>
      <c r="D684" s="2" t="s">
        <v>103</v>
      </c>
      <c r="E684" s="2" t="s">
        <v>83</v>
      </c>
    </row>
    <row r="685" spans="1:5" x14ac:dyDescent="0.25">
      <c r="A685" s="15" t="s">
        <v>841</v>
      </c>
      <c r="B685" s="2" t="s">
        <v>842</v>
      </c>
      <c r="C685" s="3">
        <v>1752</v>
      </c>
      <c r="D685" s="2" t="s">
        <v>102</v>
      </c>
      <c r="E685" s="2" t="s">
        <v>83</v>
      </c>
    </row>
    <row r="686" spans="1:5" x14ac:dyDescent="0.25">
      <c r="A686" s="15" t="s">
        <v>841</v>
      </c>
      <c r="B686" s="2" t="s">
        <v>797</v>
      </c>
      <c r="C686" s="3">
        <v>230</v>
      </c>
      <c r="D686" s="2" t="s">
        <v>111</v>
      </c>
      <c r="E686" s="2" t="s">
        <v>83</v>
      </c>
    </row>
    <row r="687" spans="1:5" x14ac:dyDescent="0.25">
      <c r="A687" s="15" t="s">
        <v>841</v>
      </c>
      <c r="B687" s="2" t="s">
        <v>222</v>
      </c>
      <c r="C687" s="3">
        <v>72</v>
      </c>
      <c r="D687" s="2" t="s">
        <v>101</v>
      </c>
      <c r="E687" s="2" t="s">
        <v>83</v>
      </c>
    </row>
    <row r="688" spans="1:5" x14ac:dyDescent="0.25">
      <c r="A688" s="15" t="s">
        <v>841</v>
      </c>
      <c r="B688" s="2" t="s">
        <v>215</v>
      </c>
      <c r="C688" s="3">
        <v>60</v>
      </c>
      <c r="D688" s="2" t="s">
        <v>111</v>
      </c>
      <c r="E688" s="2" t="s">
        <v>83</v>
      </c>
    </row>
    <row r="689" spans="1:5" x14ac:dyDescent="0.25">
      <c r="A689" s="15" t="s">
        <v>841</v>
      </c>
      <c r="B689" s="2" t="s">
        <v>843</v>
      </c>
      <c r="C689" s="3">
        <v>67</v>
      </c>
      <c r="D689" s="2" t="s">
        <v>107</v>
      </c>
      <c r="E689" s="2" t="s">
        <v>83</v>
      </c>
    </row>
    <row r="690" spans="1:5" x14ac:dyDescent="0.25">
      <c r="A690" s="15" t="s">
        <v>844</v>
      </c>
      <c r="B690" s="2" t="s">
        <v>111</v>
      </c>
      <c r="C690" s="3">
        <v>100</v>
      </c>
      <c r="D690" s="2" t="s">
        <v>111</v>
      </c>
      <c r="E690" s="2" t="s">
        <v>83</v>
      </c>
    </row>
  </sheetData>
  <phoneticPr fontId="4" type="noConversion"/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Budget</vt:lpstr>
      <vt:lpstr>Incomes</vt:lpstr>
      <vt:lpstr>Expenses</vt:lpstr>
      <vt:lpstr>Notes</vt:lpstr>
      <vt:lpstr>Expenses-All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Vaishnavi</dc:creator>
  <cp:lastModifiedBy>A Vaishnavi</cp:lastModifiedBy>
  <dcterms:created xsi:type="dcterms:W3CDTF">2026-04-12T11:42:39Z</dcterms:created>
  <dcterms:modified xsi:type="dcterms:W3CDTF">2026-05-25T11:55:10Z</dcterms:modified>
</cp:coreProperties>
</file>